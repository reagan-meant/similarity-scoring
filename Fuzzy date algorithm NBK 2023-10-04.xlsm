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cbookm1/Downloads/"/>
    </mc:Choice>
  </mc:AlternateContent>
  <xr:revisionPtr revIDLastSave="0" documentId="13_ncr:1_{12B62FE5-23A2-C043-9BEB-44EFFC5BBD16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Fuzzy date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A48nrx7TQ2kCIVWOZctagVN09Ei5i2xPIWyt8q4HgrI="/>
    </ext>
  </extLst>
</workbook>
</file>

<file path=xl/calcChain.xml><?xml version="1.0" encoding="utf-8"?>
<calcChain xmlns="http://schemas.openxmlformats.org/spreadsheetml/2006/main">
  <c r="G31" i="1" l="1"/>
  <c r="G26" i="1"/>
  <c r="E82" i="1"/>
  <c r="D82" i="1"/>
  <c r="H81" i="1" s="1"/>
  <c r="C82" i="1"/>
  <c r="G81" i="1" s="1"/>
  <c r="B82" i="1"/>
  <c r="E81" i="1"/>
  <c r="I81" i="1" s="1"/>
  <c r="D81" i="1"/>
  <c r="C81" i="1"/>
  <c r="K82" i="1" s="1"/>
  <c r="B81" i="1"/>
  <c r="E77" i="1"/>
  <c r="D77" i="1"/>
  <c r="H76" i="1" s="1"/>
  <c r="C77" i="1"/>
  <c r="B77" i="1"/>
  <c r="I76" i="1"/>
  <c r="G76" i="1"/>
  <c r="E76" i="1"/>
  <c r="D76" i="1"/>
  <c r="K77" i="1" s="1"/>
  <c r="C76" i="1"/>
  <c r="B76" i="1"/>
  <c r="E72" i="1"/>
  <c r="D72" i="1"/>
  <c r="H71" i="1" s="1"/>
  <c r="C72" i="1"/>
  <c r="B72" i="1"/>
  <c r="I71" i="1"/>
  <c r="G71" i="1"/>
  <c r="K71" i="1" s="1"/>
  <c r="M72" i="1" s="1"/>
  <c r="E71" i="1"/>
  <c r="D71" i="1"/>
  <c r="K72" i="1" s="1"/>
  <c r="C71" i="1"/>
  <c r="B71" i="1"/>
  <c r="E67" i="1"/>
  <c r="D67" i="1"/>
  <c r="H66" i="1" s="1"/>
  <c r="C67" i="1"/>
  <c r="B67" i="1"/>
  <c r="G66" i="1"/>
  <c r="E66" i="1"/>
  <c r="I66" i="1" s="1"/>
  <c r="D66" i="1"/>
  <c r="K67" i="1" s="1"/>
  <c r="C66" i="1"/>
  <c r="B66" i="1"/>
  <c r="E62" i="1"/>
  <c r="I61" i="1" s="1"/>
  <c r="D62" i="1"/>
  <c r="H61" i="1" s="1"/>
  <c r="C62" i="1"/>
  <c r="B62" i="1"/>
  <c r="G61" i="1"/>
  <c r="E61" i="1"/>
  <c r="D61" i="1"/>
  <c r="K62" i="1" s="1"/>
  <c r="C61" i="1"/>
  <c r="B61" i="1"/>
  <c r="E57" i="1"/>
  <c r="I56" i="1" s="1"/>
  <c r="D57" i="1"/>
  <c r="H56" i="1" s="1"/>
  <c r="C57" i="1"/>
  <c r="B57" i="1"/>
  <c r="G56" i="1"/>
  <c r="K56" i="1" s="1"/>
  <c r="E56" i="1"/>
  <c r="D56" i="1"/>
  <c r="K57" i="1" s="1"/>
  <c r="C56" i="1"/>
  <c r="B56" i="1"/>
  <c r="E52" i="1"/>
  <c r="I51" i="1" s="1"/>
  <c r="D52" i="1"/>
  <c r="H51" i="1" s="1"/>
  <c r="C52" i="1"/>
  <c r="B52" i="1"/>
  <c r="G51" i="1"/>
  <c r="E51" i="1"/>
  <c r="B51" i="1" s="1"/>
  <c r="D51" i="1"/>
  <c r="K52" i="1" s="1"/>
  <c r="C51" i="1"/>
  <c r="E47" i="1"/>
  <c r="D47" i="1"/>
  <c r="H46" i="1" s="1"/>
  <c r="C47" i="1"/>
  <c r="G46" i="1"/>
  <c r="E46" i="1"/>
  <c r="B46" i="1" s="1"/>
  <c r="D46" i="1"/>
  <c r="C46" i="1"/>
  <c r="E42" i="1"/>
  <c r="I41" i="1" s="1"/>
  <c r="D42" i="1"/>
  <c r="C42" i="1"/>
  <c r="G41" i="1"/>
  <c r="E41" i="1"/>
  <c r="D41" i="1"/>
  <c r="B41" i="1" s="1"/>
  <c r="C41" i="1"/>
  <c r="E37" i="1"/>
  <c r="D37" i="1"/>
  <c r="B37" i="1" s="1"/>
  <c r="C37" i="1"/>
  <c r="G36" i="1"/>
  <c r="E36" i="1"/>
  <c r="D36" i="1"/>
  <c r="C36" i="1"/>
  <c r="E32" i="1"/>
  <c r="I31" i="1" s="1"/>
  <c r="D32" i="1"/>
  <c r="C32" i="1"/>
  <c r="E31" i="1"/>
  <c r="D31" i="1"/>
  <c r="C31" i="1"/>
  <c r="E27" i="1"/>
  <c r="D27" i="1"/>
  <c r="C27" i="1"/>
  <c r="E26" i="1"/>
  <c r="D26" i="1"/>
  <c r="C26" i="1"/>
  <c r="E22" i="1"/>
  <c r="I21" i="1" s="1"/>
  <c r="D22" i="1"/>
  <c r="C22" i="1"/>
  <c r="G21" i="1"/>
  <c r="E21" i="1"/>
  <c r="D21" i="1"/>
  <c r="C21" i="1"/>
  <c r="E17" i="1"/>
  <c r="D17" i="1"/>
  <c r="C17" i="1"/>
  <c r="G16" i="1"/>
  <c r="E16" i="1"/>
  <c r="D16" i="1"/>
  <c r="C16" i="1"/>
  <c r="K12" i="1"/>
  <c r="E12" i="1"/>
  <c r="D12" i="1"/>
  <c r="C12" i="1"/>
  <c r="B12" i="1"/>
  <c r="G11" i="1"/>
  <c r="E11" i="1"/>
  <c r="D11" i="1"/>
  <c r="B11" i="1" s="1"/>
  <c r="C11" i="1"/>
  <c r="I4" i="1"/>
  <c r="I3" i="1"/>
  <c r="I2" i="1"/>
  <c r="H79" i="1" a="1"/>
  <c r="M73" i="1" a="1"/>
  <c r="I64" i="1" a="1"/>
  <c r="M58" i="1" a="1"/>
  <c r="G29" i="1" a="1"/>
  <c r="G19" i="1" a="1"/>
  <c r="I14" i="1" a="1"/>
  <c r="H34" i="1" a="1"/>
  <c r="H84" i="1" a="1"/>
  <c r="G69" i="1" a="1"/>
  <c r="M53" i="1" a="1"/>
  <c r="G34" i="1" a="1"/>
  <c r="G14" i="1" a="1"/>
  <c r="H74" i="1" a="1"/>
  <c r="H59" i="1" a="1"/>
  <c r="I39" i="1" a="1"/>
  <c r="M23" i="1" a="1"/>
  <c r="M13" i="1" a="1"/>
  <c r="H49" i="1" a="1"/>
  <c r="H29" i="1" a="1"/>
  <c r="G79" i="1" a="1"/>
  <c r="H64" i="1" a="1"/>
  <c r="G49" i="1" a="1"/>
  <c r="G39" i="1" a="1"/>
  <c r="H54" i="1" a="1"/>
  <c r="H14" i="1" a="1"/>
  <c r="H69" i="1" a="1"/>
  <c r="M78" i="1" a="1"/>
  <c r="G64" i="1" a="1"/>
  <c r="I54" i="1" a="1"/>
  <c r="M48" i="1" a="1"/>
  <c r="I44" i="1" a="1"/>
  <c r="M38" i="1" a="1"/>
  <c r="I34" i="1" a="1"/>
  <c r="M28" i="1" a="1"/>
  <c r="I24" i="1" a="1"/>
  <c r="M18" i="1" a="1"/>
  <c r="H44" i="1" a="1"/>
  <c r="H24" i="1" a="1"/>
  <c r="G54" i="1" a="1"/>
  <c r="I74" i="1" a="1"/>
  <c r="I59" i="1" a="1"/>
  <c r="G44" i="1" a="1"/>
  <c r="M83" i="1" a="1"/>
  <c r="I49" i="1" a="1"/>
  <c r="M33" i="1" a="1"/>
  <c r="I19" i="1" a="1"/>
  <c r="I79" i="1" a="1"/>
  <c r="H39" i="1" a="1"/>
  <c r="I84" i="1" a="1"/>
  <c r="I69" i="1" a="1"/>
  <c r="M63" i="1" a="1"/>
  <c r="G84" i="1" a="1"/>
  <c r="G24" i="1" a="1"/>
  <c r="M68" i="1" a="1"/>
  <c r="M43" i="1" a="1"/>
  <c r="I29" i="1" a="1"/>
  <c r="G74" i="1" a="1"/>
  <c r="G59" i="1" a="1"/>
  <c r="H19" i="1" a="1"/>
  <c r="H19" i="1" l="1"/>
  <c r="G59" i="1"/>
  <c r="G74" i="1"/>
  <c r="I29" i="1"/>
  <c r="M43" i="1"/>
  <c r="M68" i="1"/>
  <c r="G24" i="1"/>
  <c r="M24" i="1" s="1"/>
  <c r="G84" i="1"/>
  <c r="M63" i="1"/>
  <c r="I69" i="1"/>
  <c r="I84" i="1"/>
  <c r="H39" i="1"/>
  <c r="I79" i="1"/>
  <c r="I19" i="1"/>
  <c r="M33" i="1"/>
  <c r="I49" i="1"/>
  <c r="M83" i="1"/>
  <c r="G44" i="1"/>
  <c r="I59" i="1"/>
  <c r="I74" i="1"/>
  <c r="G54" i="1"/>
  <c r="H24" i="1"/>
  <c r="H44" i="1"/>
  <c r="M18" i="1"/>
  <c r="I24" i="1"/>
  <c r="M28" i="1"/>
  <c r="I34" i="1"/>
  <c r="M38" i="1"/>
  <c r="I44" i="1"/>
  <c r="M48" i="1"/>
  <c r="I54" i="1"/>
  <c r="G64" i="1"/>
  <c r="M78" i="1"/>
  <c r="H69" i="1"/>
  <c r="H14" i="1"/>
  <c r="H54" i="1"/>
  <c r="G39" i="1"/>
  <c r="G49" i="1"/>
  <c r="H64" i="1"/>
  <c r="G79" i="1"/>
  <c r="H29" i="1"/>
  <c r="H49" i="1"/>
  <c r="M13" i="1"/>
  <c r="M23" i="1"/>
  <c r="I39" i="1"/>
  <c r="H59" i="1"/>
  <c r="H74" i="1"/>
  <c r="G14" i="1"/>
  <c r="G34" i="1"/>
  <c r="M53" i="1"/>
  <c r="G69" i="1"/>
  <c r="M69" i="1" s="1"/>
  <c r="H84" i="1"/>
  <c r="H34" i="1"/>
  <c r="I14" i="1"/>
  <c r="G19" i="1"/>
  <c r="M19" i="1" s="1"/>
  <c r="G29" i="1"/>
  <c r="M29" i="1" s="1"/>
  <c r="M58" i="1"/>
  <c r="I64" i="1"/>
  <c r="M73" i="1"/>
  <c r="H79" i="1"/>
  <c r="Q72" i="1"/>
  <c r="B27" i="1"/>
  <c r="H26" i="1"/>
  <c r="K26" i="1" s="1"/>
  <c r="M27" i="1" s="1"/>
  <c r="Q27" i="1" s="1"/>
  <c r="I16" i="1"/>
  <c r="K21" i="1"/>
  <c r="M22" i="1" s="1"/>
  <c r="K51" i="1"/>
  <c r="M52" i="1" s="1"/>
  <c r="Q52" i="1" s="1"/>
  <c r="B17" i="1"/>
  <c r="H16" i="1"/>
  <c r="K16" i="1" s="1"/>
  <c r="M17" i="1" s="1"/>
  <c r="B31" i="1"/>
  <c r="K32" i="1"/>
  <c r="B47" i="1"/>
  <c r="I46" i="1"/>
  <c r="K46" i="1" s="1"/>
  <c r="M47" i="1" s="1"/>
  <c r="Q47" i="1" s="1"/>
  <c r="K66" i="1"/>
  <c r="M67" i="1" s="1"/>
  <c r="H11" i="1"/>
  <c r="K11" i="1" s="1"/>
  <c r="M12" i="1" s="1"/>
  <c r="Q12" i="1" s="1"/>
  <c r="M39" i="1"/>
  <c r="M49" i="1"/>
  <c r="M79" i="1"/>
  <c r="K81" i="1"/>
  <c r="M82" i="1" s="1"/>
  <c r="Q82" i="1" s="1"/>
  <c r="M57" i="1"/>
  <c r="Q57" i="1" s="1"/>
  <c r="B21" i="1"/>
  <c r="K22" i="1"/>
  <c r="I26" i="1"/>
  <c r="I36" i="1"/>
  <c r="I11" i="1"/>
  <c r="B16" i="1"/>
  <c r="K17" i="1"/>
  <c r="B22" i="1"/>
  <c r="H21" i="1"/>
  <c r="B26" i="1"/>
  <c r="K27" i="1"/>
  <c r="B32" i="1"/>
  <c r="H31" i="1"/>
  <c r="K31" i="1" s="1"/>
  <c r="M32" i="1" s="1"/>
  <c r="Q32" i="1" s="1"/>
  <c r="B36" i="1"/>
  <c r="B42" i="1"/>
  <c r="K47" i="1"/>
  <c r="K61" i="1"/>
  <c r="M62" i="1" s="1"/>
  <c r="Q62" i="1" s="1"/>
  <c r="K76" i="1"/>
  <c r="M77" i="1" s="1"/>
  <c r="Q77" i="1" s="1"/>
  <c r="H36" i="1"/>
  <c r="K36" i="1" s="1"/>
  <c r="M37" i="1" s="1"/>
  <c r="Q37" i="1" s="1"/>
  <c r="H41" i="1"/>
  <c r="K41" i="1" s="1"/>
  <c r="M42" i="1" s="1"/>
  <c r="Q42" i="1" s="1"/>
  <c r="K42" i="1"/>
  <c r="K37" i="1"/>
  <c r="M14" i="1" l="1"/>
  <c r="M64" i="1"/>
  <c r="M84" i="1"/>
  <c r="M74" i="1"/>
  <c r="M54" i="1"/>
  <c r="Q17" i="1"/>
  <c r="M44" i="1"/>
  <c r="M59" i="1"/>
  <c r="Q67" i="1"/>
  <c r="Q22" i="1"/>
  <c r="M34" i="1"/>
</calcChain>
</file>

<file path=xl/sharedStrings.xml><?xml version="1.0" encoding="utf-8"?>
<sst xmlns="http://schemas.openxmlformats.org/spreadsheetml/2006/main" count="157" uniqueCount="40">
  <si>
    <t>Parameters</t>
  </si>
  <si>
    <t>weight for YY</t>
  </si>
  <si>
    <t xml:space="preserve">threshold </t>
  </si>
  <si>
    <t>weight for MM</t>
  </si>
  <si>
    <t>weight for DD</t>
  </si>
  <si>
    <t>Score for MM -DD swap</t>
  </si>
  <si>
    <t>penalty for DL string</t>
  </si>
  <si>
    <t>penalty for DL parse</t>
  </si>
  <si>
    <t>date</t>
  </si>
  <si>
    <t>string</t>
  </si>
  <si>
    <t>yyyy</t>
  </si>
  <si>
    <t>mm</t>
  </si>
  <si>
    <t>dd</t>
  </si>
  <si>
    <t>match yy</t>
  </si>
  <si>
    <t>match mm</t>
  </si>
  <si>
    <t>match dd</t>
  </si>
  <si>
    <t xml:space="preserve">match total </t>
  </si>
  <si>
    <t>method</t>
  </si>
  <si>
    <t>eval</t>
  </si>
  <si>
    <t>comment</t>
  </si>
  <si>
    <t>average basic&amp;DL</t>
  </si>
  <si>
    <t>basic (parsed)</t>
  </si>
  <si>
    <t>mm-dd swap</t>
  </si>
  <si>
    <t>Basic with swap</t>
  </si>
  <si>
    <t>ok</t>
  </si>
  <si>
    <t>(exact same dob)</t>
  </si>
  <si>
    <t>DL full string</t>
  </si>
  <si>
    <t>DL parsed</t>
  </si>
  <si>
    <t xml:space="preserve"> because age is another rule</t>
  </si>
  <si>
    <t>(maybe age corresponding to DOB)</t>
  </si>
  <si>
    <t>(different in large DB)</t>
  </si>
  <si>
    <t>nok</t>
  </si>
  <si>
    <t>(probably different in large DB)</t>
  </si>
  <si>
    <t>(maybe swap 2 digits in year)</t>
  </si>
  <si>
    <t>(swap mm dd)</t>
  </si>
  <si>
    <t>(very different)</t>
  </si>
  <si>
    <t>(very likely  different)</t>
  </si>
  <si>
    <t>(could be a typo and digit swap in yyyy)</t>
  </si>
  <si>
    <t>(typo?)</t>
  </si>
  <si>
    <t>(2 typos maybe too much)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</si>
</sst>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6" x14ac:knownFonts="1">
    <font>
      <sz val="11"/>
      <color theme="1"/>
      <name val="Calibri"/>
      <scheme val="minor"/>
    </font>
    <font>
      <sz val="11"/>
      <color theme="1"/>
      <name val="Calibri"/>
    </font>
    <font>
      <i/>
      <sz val="11"/>
      <color theme="1"/>
      <name val="Calibri"/>
    </font>
    <font>
      <b/>
      <sz val="11"/>
      <color theme="1"/>
      <name val="Calibri"/>
    </font>
    <font>
      <sz val="10"/>
      <color theme="1"/>
      <name val="Calibri"/>
    </font>
    <font>
      <sz val="9"/>
      <color theme="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rgb="FFF2F2F2"/>
        <bgColor rgb="FFF2F2F2"/>
      </patternFill>
    </fill>
    <fill>
      <patternFill patternType="solid">
        <fgColor rgb="FFF7CAAC"/>
        <bgColor rgb="FFF7CAAC"/>
      </patternFill>
    </fill>
    <fill>
      <patternFill patternType="solid">
        <fgColor theme="0"/>
        <bgColor theme="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1" xfId="0" applyFont="1" applyFill="1" applyBorder="1"/>
    <xf numFmtId="49" fontId="1" fillId="2" borderId="1" xfId="0" applyNumberFormat="1" applyFont="1" applyFill="1" applyBorder="1" applyAlignment="1">
      <alignment horizontal="right"/>
    </xf>
    <xf numFmtId="49" fontId="1" fillId="2" borderId="1" xfId="0" applyNumberFormat="1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left"/>
    </xf>
    <xf numFmtId="9" fontId="2" fillId="2" borderId="1" xfId="0" applyNumberFormat="1" applyFont="1" applyFill="1" applyBorder="1"/>
    <xf numFmtId="0" fontId="1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4" fillId="0" borderId="0" xfId="0" applyFont="1"/>
    <xf numFmtId="9" fontId="2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/>
    <xf numFmtId="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9" fontId="2" fillId="0" borderId="0" xfId="0" applyNumberFormat="1" applyFont="1"/>
    <xf numFmtId="0" fontId="1" fillId="0" borderId="0" xfId="0" applyFont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right" wrapText="1"/>
    </xf>
    <xf numFmtId="49" fontId="2" fillId="0" borderId="0" xfId="0" applyNumberFormat="1" applyFont="1" applyAlignment="1">
      <alignment horizontal="center" wrapText="1"/>
    </xf>
    <xf numFmtId="49" fontId="2" fillId="0" borderId="0" xfId="0" applyNumberFormat="1" applyFont="1" applyAlignment="1">
      <alignment horizontal="left" wrapText="1"/>
    </xf>
    <xf numFmtId="9" fontId="2" fillId="0" borderId="0" xfId="0" applyNumberFormat="1" applyFont="1" applyAlignment="1">
      <alignment horizontal="right" wrapText="1"/>
    </xf>
    <xf numFmtId="0" fontId="2" fillId="0" borderId="0" xfId="0" applyFont="1" applyAlignment="1">
      <alignment horizontal="center" wrapText="1"/>
    </xf>
    <xf numFmtId="0" fontId="1" fillId="0" borderId="0" xfId="0" applyFont="1" applyAlignment="1">
      <alignment horizontal="right" wrapText="1"/>
    </xf>
    <xf numFmtId="0" fontId="3" fillId="0" borderId="0" xfId="0" applyFont="1" applyAlignment="1">
      <alignment horizontal="righ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right"/>
    </xf>
    <xf numFmtId="49" fontId="2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164" fontId="1" fillId="3" borderId="2" xfId="0" applyNumberFormat="1" applyFont="1" applyFill="1" applyBorder="1"/>
    <xf numFmtId="0" fontId="1" fillId="3" borderId="3" xfId="0" applyFont="1" applyFill="1" applyBorder="1"/>
    <xf numFmtId="49" fontId="2" fillId="4" borderId="3" xfId="0" applyNumberFormat="1" applyFont="1" applyFill="1" applyBorder="1" applyAlignment="1">
      <alignment horizontal="right"/>
    </xf>
    <xf numFmtId="49" fontId="2" fillId="4" borderId="3" xfId="0" applyNumberFormat="1" applyFont="1" applyFill="1" applyBorder="1" applyAlignment="1">
      <alignment horizontal="center"/>
    </xf>
    <xf numFmtId="49" fontId="2" fillId="4" borderId="3" xfId="0" applyNumberFormat="1" applyFont="1" applyFill="1" applyBorder="1" applyAlignment="1">
      <alignment horizontal="left"/>
    </xf>
    <xf numFmtId="9" fontId="2" fillId="3" borderId="3" xfId="0" applyNumberFormat="1" applyFont="1" applyFill="1" applyBorder="1"/>
    <xf numFmtId="9" fontId="2" fillId="3" borderId="3" xfId="0" applyNumberFormat="1" applyFont="1" applyFill="1" applyBorder="1" applyAlignment="1">
      <alignment horizontal="center"/>
    </xf>
    <xf numFmtId="9" fontId="1" fillId="3" borderId="3" xfId="0" applyNumberFormat="1" applyFont="1" applyFill="1" applyBorder="1"/>
    <xf numFmtId="0" fontId="3" fillId="3" borderId="3" xfId="0" applyFont="1" applyFill="1" applyBorder="1"/>
    <xf numFmtId="0" fontId="4" fillId="3" borderId="3" xfId="0" applyFont="1" applyFill="1" applyBorder="1"/>
    <xf numFmtId="0" fontId="1" fillId="3" borderId="4" xfId="0" applyFont="1" applyFill="1" applyBorder="1"/>
    <xf numFmtId="164" fontId="1" fillId="3" borderId="1" xfId="0" applyNumberFormat="1" applyFont="1" applyFill="1" applyBorder="1"/>
    <xf numFmtId="0" fontId="1" fillId="3" borderId="1" xfId="0" applyFont="1" applyFill="1" applyBorder="1"/>
    <xf numFmtId="49" fontId="2" fillId="4" borderId="1" xfId="0" applyNumberFormat="1" applyFont="1" applyFill="1" applyBorder="1" applyAlignment="1">
      <alignment horizontal="right"/>
    </xf>
    <xf numFmtId="49" fontId="2" fillId="4" borderId="1" xfId="0" applyNumberFormat="1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left"/>
    </xf>
    <xf numFmtId="9" fontId="2" fillId="3" borderId="1" xfId="0" applyNumberFormat="1" applyFont="1" applyFill="1" applyBorder="1"/>
    <xf numFmtId="9" fontId="2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9" fontId="1" fillId="3" borderId="1" xfId="0" applyNumberFormat="1" applyFont="1" applyFill="1" applyBorder="1"/>
    <xf numFmtId="9" fontId="3" fillId="3" borderId="1" xfId="0" applyNumberFormat="1" applyFont="1" applyFill="1" applyBorder="1"/>
    <xf numFmtId="0" fontId="4" fillId="3" borderId="1" xfId="0" applyFont="1" applyFill="1" applyBorder="1" applyAlignment="1">
      <alignment horizontal="right"/>
    </xf>
    <xf numFmtId="0" fontId="4" fillId="3" borderId="1" xfId="0" applyFont="1" applyFill="1" applyBorder="1"/>
    <xf numFmtId="0" fontId="1" fillId="3" borderId="5" xfId="0" applyFont="1" applyFill="1" applyBorder="1"/>
    <xf numFmtId="0" fontId="5" fillId="3" borderId="6" xfId="0" applyFont="1" applyFill="1" applyBorder="1"/>
    <xf numFmtId="49" fontId="2" fillId="3" borderId="1" xfId="0" applyNumberFormat="1" applyFont="1" applyFill="1" applyBorder="1" applyAlignment="1">
      <alignment horizontal="right"/>
    </xf>
    <xf numFmtId="49" fontId="2" fillId="3" borderId="1" xfId="0" applyNumberFormat="1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left"/>
    </xf>
    <xf numFmtId="0" fontId="1" fillId="3" borderId="7" xfId="0" applyFont="1" applyFill="1" applyBorder="1"/>
    <xf numFmtId="0" fontId="1" fillId="3" borderId="8" xfId="0" applyFont="1" applyFill="1" applyBorder="1"/>
    <xf numFmtId="49" fontId="2" fillId="3" borderId="8" xfId="0" applyNumberFormat="1" applyFont="1" applyFill="1" applyBorder="1" applyAlignment="1">
      <alignment horizontal="right"/>
    </xf>
    <xf numFmtId="49" fontId="2" fillId="3" borderId="8" xfId="0" applyNumberFormat="1" applyFont="1" applyFill="1" applyBorder="1" applyAlignment="1">
      <alignment horizontal="center"/>
    </xf>
    <xf numFmtId="49" fontId="2" fillId="3" borderId="8" xfId="0" applyNumberFormat="1" applyFont="1" applyFill="1" applyBorder="1" applyAlignment="1">
      <alignment horizontal="left"/>
    </xf>
    <xf numFmtId="9" fontId="2" fillId="3" borderId="8" xfId="0" applyNumberFormat="1" applyFont="1" applyFill="1" applyBorder="1"/>
    <xf numFmtId="9" fontId="2" fillId="3" borderId="8" xfId="0" applyNumberFormat="1" applyFont="1" applyFill="1" applyBorder="1" applyAlignment="1">
      <alignment horizontal="center"/>
    </xf>
    <xf numFmtId="9" fontId="3" fillId="3" borderId="8" xfId="0" applyNumberFormat="1" applyFont="1" applyFill="1" applyBorder="1"/>
    <xf numFmtId="0" fontId="4" fillId="3" borderId="8" xfId="0" applyFont="1" applyFill="1" applyBorder="1" applyAlignment="1">
      <alignment horizontal="right"/>
    </xf>
    <xf numFmtId="0" fontId="4" fillId="3" borderId="8" xfId="0" applyFont="1" applyFill="1" applyBorder="1"/>
    <xf numFmtId="0" fontId="1" fillId="3" borderId="9" xfId="0" applyFont="1" applyFill="1" applyBorder="1"/>
    <xf numFmtId="0" fontId="1" fillId="5" borderId="1" xfId="0" applyFont="1" applyFill="1" applyBorder="1"/>
    <xf numFmtId="49" fontId="2" fillId="5" borderId="1" xfId="0" applyNumberFormat="1" applyFont="1" applyFill="1" applyBorder="1" applyAlignment="1">
      <alignment horizontal="right"/>
    </xf>
    <xf numFmtId="49" fontId="2" fillId="5" borderId="1" xfId="0" applyNumberFormat="1" applyFont="1" applyFill="1" applyBorder="1" applyAlignment="1">
      <alignment horizontal="center"/>
    </xf>
    <xf numFmtId="49" fontId="2" fillId="5" borderId="1" xfId="0" applyNumberFormat="1" applyFont="1" applyFill="1" applyBorder="1" applyAlignment="1">
      <alignment horizontal="left"/>
    </xf>
    <xf numFmtId="9" fontId="2" fillId="5" borderId="1" xfId="0" applyNumberFormat="1" applyFont="1" applyFill="1" applyBorder="1"/>
    <xf numFmtId="0" fontId="2" fillId="5" borderId="1" xfId="0" applyFont="1" applyFill="1" applyBorder="1" applyAlignment="1">
      <alignment horizontal="center"/>
    </xf>
    <xf numFmtId="0" fontId="3" fillId="5" borderId="1" xfId="0" applyFont="1" applyFill="1" applyBorder="1"/>
    <xf numFmtId="0" fontId="4" fillId="5" borderId="1" xfId="0" applyFont="1" applyFill="1" applyBorder="1"/>
    <xf numFmtId="164" fontId="1" fillId="3" borderId="6" xfId="0" applyNumberFormat="1" applyFont="1" applyFill="1" applyBorder="1"/>
    <xf numFmtId="0" fontId="4" fillId="3" borderId="5" xfId="0" applyFont="1" applyFill="1" applyBorder="1"/>
    <xf numFmtId="0" fontId="2" fillId="3" borderId="8" xfId="0" applyFont="1" applyFill="1" applyBorder="1"/>
  </cellXfs>
  <cellStyles count="1">
    <cellStyle name="Normal" xfId="0" builtinId="0"/>
  </cellStyles>
  <dxfs count="35"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D8D8D8"/>
          <bgColor rgb="FFD8D8D8"/>
        </patternFill>
      </fill>
    </dxf>
    <dxf>
      <font>
        <color theme="1"/>
      </font>
      <fill>
        <patternFill patternType="solid">
          <fgColor rgb="FFDEEAF6"/>
          <bgColor rgb="FFDEEAF6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C5E0B3"/>
          <bgColor rgb="FFC5E0B3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D8D8D8"/>
          <bgColor rgb="FFD8D8D8"/>
        </patternFill>
      </fill>
    </dxf>
    <dxf>
      <font>
        <color theme="1"/>
      </font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1000"/>
  <sheetViews>
    <sheetView tabSelected="1" topLeftCell="A68" workbookViewId="0">
      <selection activeCell="L95" sqref="L95"/>
    </sheetView>
  </sheetViews>
  <sheetFormatPr baseColWidth="10" defaultColWidth="14.5" defaultRowHeight="15" customHeight="1" x14ac:dyDescent="0.2"/>
  <cols>
    <col min="1" max="2" width="10.5" customWidth="1"/>
    <col min="3" max="3" width="5.6640625" customWidth="1"/>
    <col min="4" max="4" width="4.6640625" customWidth="1"/>
    <col min="5" max="5" width="3.6640625" customWidth="1"/>
    <col min="6" max="6" width="4.1640625" customWidth="1"/>
    <col min="7" max="9" width="8.6640625" customWidth="1"/>
    <col min="10" max="10" width="3.1640625" customWidth="1"/>
    <col min="11" max="11" width="7.5" customWidth="1"/>
    <col min="12" max="12" width="19.33203125" customWidth="1"/>
    <col min="13" max="13" width="7.33203125" customWidth="1"/>
    <col min="14" max="14" width="19.1640625" customWidth="1"/>
    <col min="15" max="15" width="5" customWidth="1"/>
    <col min="16" max="16" width="26.83203125" customWidth="1"/>
    <col min="17" max="17" width="9.33203125" hidden="1" customWidth="1"/>
    <col min="18" max="18" width="3.5" customWidth="1"/>
    <col min="19" max="26" width="9.1640625" customWidth="1"/>
  </cols>
  <sheetData>
    <row r="1" spans="1:18" x14ac:dyDescent="0.2">
      <c r="A1" s="1" t="s">
        <v>0</v>
      </c>
      <c r="B1" s="1"/>
      <c r="C1" s="2"/>
      <c r="D1" s="3"/>
      <c r="E1" s="4"/>
      <c r="F1" s="5"/>
      <c r="G1" s="6"/>
      <c r="H1" s="6"/>
      <c r="I1" s="6"/>
      <c r="J1" s="1"/>
      <c r="K1" s="1"/>
      <c r="L1" s="1"/>
      <c r="M1" s="7"/>
      <c r="N1" s="1"/>
      <c r="P1" s="8"/>
    </row>
    <row r="2" spans="1:18" x14ac:dyDescent="0.2">
      <c r="A2" s="1"/>
      <c r="B2" s="1"/>
      <c r="C2" s="2" t="s">
        <v>1</v>
      </c>
      <c r="D2" s="3"/>
      <c r="E2" s="4"/>
      <c r="F2" s="5"/>
      <c r="G2" s="6"/>
      <c r="H2" s="6">
        <v>5</v>
      </c>
      <c r="I2" s="9">
        <f t="shared" ref="I2:I4" si="0">H2/SUM(H$2:H$4)</f>
        <v>0.41666666666666669</v>
      </c>
      <c r="J2" s="1"/>
      <c r="K2" s="1"/>
      <c r="L2" s="1"/>
      <c r="M2" s="10">
        <v>0.8</v>
      </c>
      <c r="N2" s="1" t="s">
        <v>2</v>
      </c>
      <c r="P2" s="8"/>
    </row>
    <row r="3" spans="1:18" x14ac:dyDescent="0.2">
      <c r="A3" s="1"/>
      <c r="B3" s="1"/>
      <c r="C3" s="2" t="s">
        <v>3</v>
      </c>
      <c r="D3" s="3"/>
      <c r="E3" s="4"/>
      <c r="F3" s="5"/>
      <c r="G3" s="6"/>
      <c r="H3" s="6">
        <v>4</v>
      </c>
      <c r="I3" s="9">
        <f t="shared" si="0"/>
        <v>0.33333333333333331</v>
      </c>
      <c r="J3" s="1"/>
      <c r="K3" s="1"/>
      <c r="L3" s="1"/>
      <c r="M3" s="7"/>
      <c r="N3" s="1"/>
      <c r="P3" s="8"/>
    </row>
    <row r="4" spans="1:18" x14ac:dyDescent="0.2">
      <c r="A4" s="1"/>
      <c r="B4" s="1"/>
      <c r="C4" s="2" t="s">
        <v>4</v>
      </c>
      <c r="D4" s="3"/>
      <c r="E4" s="4"/>
      <c r="F4" s="5"/>
      <c r="G4" s="6"/>
      <c r="H4" s="6">
        <v>3</v>
      </c>
      <c r="I4" s="9">
        <f t="shared" si="0"/>
        <v>0.25</v>
      </c>
      <c r="J4" s="1"/>
      <c r="K4" s="1"/>
      <c r="L4" s="1"/>
      <c r="M4" s="7"/>
      <c r="N4" s="1"/>
      <c r="P4" s="8"/>
    </row>
    <row r="5" spans="1:18" x14ac:dyDescent="0.2">
      <c r="A5" s="1"/>
      <c r="B5" s="1"/>
      <c r="C5" s="2" t="s">
        <v>5</v>
      </c>
      <c r="D5" s="3"/>
      <c r="E5" s="4"/>
      <c r="F5" s="5"/>
      <c r="G5" s="6"/>
      <c r="H5" s="11">
        <v>0.9</v>
      </c>
      <c r="I5" s="6"/>
      <c r="J5" s="1"/>
      <c r="K5" s="1"/>
      <c r="L5" s="1"/>
      <c r="M5" s="7"/>
      <c r="N5" s="1"/>
      <c r="P5" s="8"/>
    </row>
    <row r="6" spans="1:18" x14ac:dyDescent="0.2">
      <c r="A6" s="1"/>
      <c r="B6" s="1" t="s">
        <v>6</v>
      </c>
      <c r="C6" s="2"/>
      <c r="D6" s="3"/>
      <c r="E6" s="4"/>
      <c r="F6" s="5"/>
      <c r="G6" s="6"/>
      <c r="H6" s="11">
        <v>0.2</v>
      </c>
      <c r="I6" s="6"/>
      <c r="J6" s="1"/>
      <c r="K6" s="1"/>
      <c r="L6" s="1"/>
      <c r="M6" s="7"/>
      <c r="N6" s="1"/>
      <c r="P6" s="8"/>
    </row>
    <row r="7" spans="1:18" x14ac:dyDescent="0.2">
      <c r="A7" s="1"/>
      <c r="B7" s="1" t="s">
        <v>7</v>
      </c>
      <c r="C7" s="2"/>
      <c r="D7" s="3"/>
      <c r="E7" s="4"/>
      <c r="F7" s="5"/>
      <c r="G7" s="6"/>
      <c r="H7" s="11">
        <v>0.5</v>
      </c>
      <c r="I7" s="6"/>
      <c r="J7" s="1"/>
      <c r="K7" s="1"/>
      <c r="L7" s="1"/>
      <c r="M7" s="7"/>
      <c r="N7" s="1"/>
      <c r="P7" s="8"/>
    </row>
    <row r="8" spans="1:18" x14ac:dyDescent="0.2">
      <c r="C8" s="12"/>
      <c r="D8" s="13"/>
      <c r="E8" s="14"/>
      <c r="F8" s="15"/>
      <c r="G8" s="16"/>
      <c r="H8" s="16"/>
      <c r="I8" s="16"/>
      <c r="M8" s="17"/>
      <c r="P8" s="8"/>
    </row>
    <row r="9" spans="1:18" ht="32" x14ac:dyDescent="0.2">
      <c r="A9" s="18" t="s">
        <v>8</v>
      </c>
      <c r="B9" s="18" t="s">
        <v>9</v>
      </c>
      <c r="C9" s="19" t="s">
        <v>10</v>
      </c>
      <c r="D9" s="20" t="s">
        <v>11</v>
      </c>
      <c r="E9" s="21" t="s">
        <v>12</v>
      </c>
      <c r="F9" s="22"/>
      <c r="G9" s="23" t="s">
        <v>13</v>
      </c>
      <c r="H9" s="23" t="s">
        <v>14</v>
      </c>
      <c r="I9" s="23" t="s">
        <v>15</v>
      </c>
      <c r="J9" s="24"/>
      <c r="K9" s="24" t="s">
        <v>16</v>
      </c>
      <c r="L9" s="24"/>
      <c r="M9" s="25"/>
      <c r="N9" s="26" t="s">
        <v>17</v>
      </c>
      <c r="O9" s="27" t="s">
        <v>18</v>
      </c>
      <c r="P9" s="8" t="s">
        <v>19</v>
      </c>
      <c r="Q9" s="27" t="s">
        <v>20</v>
      </c>
    </row>
    <row r="10" spans="1:18" x14ac:dyDescent="0.2">
      <c r="A10" s="28"/>
      <c r="C10" s="29"/>
      <c r="D10" s="30"/>
      <c r="E10" s="31"/>
      <c r="F10" s="15"/>
      <c r="G10" s="32"/>
      <c r="H10" s="32"/>
      <c r="I10" s="32"/>
      <c r="J10" s="28"/>
      <c r="K10" s="28"/>
      <c r="L10" s="28"/>
      <c r="M10" s="33"/>
      <c r="N10" s="28"/>
      <c r="P10" s="8"/>
    </row>
    <row r="11" spans="1:18" x14ac:dyDescent="0.2">
      <c r="A11" s="34">
        <v>37758</v>
      </c>
      <c r="B11" s="35" t="str">
        <f t="shared" ref="B11:B12" si="1">CONCATENATE(C11,D11,E11)</f>
        <v>20030517</v>
      </c>
      <c r="C11" s="36" t="str">
        <f t="shared" ref="C11:C12" si="2">TEXT(YEAR($A11), "0000")</f>
        <v>2003</v>
      </c>
      <c r="D11" s="37" t="str">
        <f t="shared" ref="D11:D12" si="3">TEXT(MONTH($A11),"00")</f>
        <v>05</v>
      </c>
      <c r="E11" s="38" t="str">
        <f t="shared" ref="E11:E12" si="4">TEXT(DAY(A11),"00")</f>
        <v>17</v>
      </c>
      <c r="F11" s="39"/>
      <c r="G11" s="40">
        <f>IF(C12=C11, 1,
         IF(AND(LEFT(C12,2)=LEFT(C11,2),
                     LEFT(RIGHT(C11,2),1)= RIGHT(C12,1),
                     LEFT(RIGHT(C12,2),1)= RIGHT(C11,1)      ), 0.6, 0))</f>
        <v>1</v>
      </c>
      <c r="H11" s="40">
        <f t="shared" ref="H11:I11" si="5">IF(D12=D11, 1,
         IF(AND(LEFT(D12,1)=RIGHT(D11,1),  LEFT(D11,1)= RIGHT(D12,1) ), 0.6, 0))</f>
        <v>1</v>
      </c>
      <c r="I11" s="40">
        <f t="shared" si="5"/>
        <v>1</v>
      </c>
      <c r="J11" s="35"/>
      <c r="K11" s="41">
        <f>(G11*$H$2+H11*$H$3+I11*$H$4)/SUM($H$2:$H$4)</f>
        <v>1</v>
      </c>
      <c r="L11" s="35" t="s">
        <v>21</v>
      </c>
      <c r="M11" s="42"/>
      <c r="N11" s="35"/>
      <c r="O11" s="35"/>
      <c r="P11" s="43"/>
      <c r="Q11" s="35"/>
      <c r="R11" s="44"/>
    </row>
    <row r="12" spans="1:18" x14ac:dyDescent="0.2">
      <c r="A12" s="45">
        <v>37758</v>
      </c>
      <c r="B12" s="46" t="str">
        <f t="shared" si="1"/>
        <v>20030517</v>
      </c>
      <c r="C12" s="47" t="str">
        <f t="shared" si="2"/>
        <v>2003</v>
      </c>
      <c r="D12" s="48" t="str">
        <f t="shared" si="3"/>
        <v>05</v>
      </c>
      <c r="E12" s="49" t="str">
        <f t="shared" si="4"/>
        <v>17</v>
      </c>
      <c r="F12" s="50"/>
      <c r="G12" s="51"/>
      <c r="H12" s="52"/>
      <c r="I12" s="51"/>
      <c r="J12" s="46"/>
      <c r="K12" s="53">
        <f>IF(AND(C11=C12,D11=E12,D12=E11),$H$5,0)</f>
        <v>0</v>
      </c>
      <c r="L12" s="46" t="s">
        <v>22</v>
      </c>
      <c r="M12" s="54">
        <f>MAX(K11:K12)</f>
        <v>1</v>
      </c>
      <c r="N12" s="46" t="s">
        <v>23</v>
      </c>
      <c r="O12" s="55" t="s">
        <v>24</v>
      </c>
      <c r="P12" s="56"/>
      <c r="Q12" s="53">
        <f>AVERAGE(M12:M13)</f>
        <v>1</v>
      </c>
      <c r="R12" s="57"/>
    </row>
    <row r="13" spans="1:18" x14ac:dyDescent="0.2">
      <c r="A13" s="58" t="s">
        <v>25</v>
      </c>
      <c r="B13" s="46"/>
      <c r="C13" s="59"/>
      <c r="D13" s="60"/>
      <c r="E13" s="61"/>
      <c r="F13" s="50"/>
      <c r="G13" s="52"/>
      <c r="H13" s="52"/>
      <c r="I13" s="52"/>
      <c r="J13" s="46"/>
      <c r="K13" s="46"/>
      <c r="L13" s="46"/>
      <c r="M13" s="54">
        <f t="array" ref="M13">MAX(1-Levenshtein_Distance(B11,B12)*$H$6,0)</f>
        <v>1</v>
      </c>
      <c r="N13" s="46" t="s">
        <v>26</v>
      </c>
      <c r="O13" s="55" t="s">
        <v>24</v>
      </c>
      <c r="P13" s="56"/>
      <c r="Q13" s="46"/>
      <c r="R13" s="57"/>
    </row>
    <row r="14" spans="1:18" x14ac:dyDescent="0.2">
      <c r="A14" s="62"/>
      <c r="B14" s="63"/>
      <c r="C14" s="64"/>
      <c r="D14" s="65"/>
      <c r="E14" s="66"/>
      <c r="F14" s="67"/>
      <c r="G14" s="68">
        <f t="array" ref="G14">1-Levenshtein_Distance(C11,C12)*$H$7</f>
        <v>1</v>
      </c>
      <c r="H14" s="68">
        <f t="array" ref="H14">1-Levenshtein_Distance(D11,D12)*$H$7</f>
        <v>1</v>
      </c>
      <c r="I14" s="68">
        <f t="array" ref="I14">1-Levenshtein_Distance(E11,E12)*$H$7</f>
        <v>1</v>
      </c>
      <c r="J14" s="63"/>
      <c r="K14" s="63"/>
      <c r="L14" s="63"/>
      <c r="M14" s="69">
        <f>MAX(1- ((1-G14)*$I$2 + (1-H14)*$I$3 + (1-I14)*$I$4), 0)</f>
        <v>1</v>
      </c>
      <c r="N14" s="63" t="s">
        <v>27</v>
      </c>
      <c r="O14" s="70" t="s">
        <v>24</v>
      </c>
      <c r="P14" s="71"/>
      <c r="Q14" s="63"/>
      <c r="R14" s="72"/>
    </row>
    <row r="15" spans="1:18" x14ac:dyDescent="0.2">
      <c r="A15" s="73"/>
      <c r="B15" s="73"/>
      <c r="C15" s="74"/>
      <c r="D15" s="75"/>
      <c r="E15" s="76"/>
      <c r="F15" s="77"/>
      <c r="G15" s="78"/>
      <c r="H15" s="78"/>
      <c r="I15" s="78"/>
      <c r="J15" s="73"/>
      <c r="K15" s="73"/>
      <c r="L15" s="73"/>
      <c r="M15" s="79"/>
      <c r="N15" s="73"/>
      <c r="O15" s="73"/>
      <c r="P15" s="80"/>
      <c r="Q15" s="73"/>
      <c r="R15" s="73"/>
    </row>
    <row r="16" spans="1:18" x14ac:dyDescent="0.2">
      <c r="A16" s="34">
        <v>32874</v>
      </c>
      <c r="B16" s="35" t="str">
        <f t="shared" ref="B16:B17" si="6">CONCATENATE(C16,D16,E16)</f>
        <v>19900101</v>
      </c>
      <c r="C16" s="36" t="str">
        <f t="shared" ref="C16:C17" si="7">TEXT(YEAR($A16), "0000")</f>
        <v>1990</v>
      </c>
      <c r="D16" s="37" t="str">
        <f t="shared" ref="D16:D17" si="8">TEXT(MONTH($A16),"00")</f>
        <v>01</v>
      </c>
      <c r="E16" s="38" t="str">
        <f t="shared" ref="E16:E17" si="9">TEXT(DAY(A16),"00")</f>
        <v>01</v>
      </c>
      <c r="F16" s="39"/>
      <c r="G16" s="40">
        <f>IF(C17=C16, 1,
         IF(AND(LEFT(C17,2)=LEFT(C16,2),
                     LEFT(RIGHT(C16,2),1)= RIGHT(C17,1),
                     LEFT(RIGHT(C17,2),1)= RIGHT(C16,1)      ), 0.6, 0))</f>
        <v>1</v>
      </c>
      <c r="H16" s="40">
        <f t="shared" ref="H16:I16" si="10">IF(D17=D16, 1,
         IF(AND(LEFT(D17,1)=RIGHT(D16,1),  LEFT(D16,1)= RIGHT(D17,1) ), 0.6, 0))</f>
        <v>1</v>
      </c>
      <c r="I16" s="40">
        <f t="shared" si="10"/>
        <v>0</v>
      </c>
      <c r="J16" s="35"/>
      <c r="K16" s="41">
        <f>(G16*$H$2+H16*$H$3+I16*$H$4)/SUM($H$2:$H$4)</f>
        <v>0.75</v>
      </c>
      <c r="L16" s="35" t="s">
        <v>21</v>
      </c>
      <c r="M16" s="42"/>
      <c r="N16" s="35"/>
      <c r="O16" s="35"/>
      <c r="P16" s="43"/>
      <c r="Q16" s="35"/>
      <c r="R16" s="44"/>
    </row>
    <row r="17" spans="1:18" x14ac:dyDescent="0.2">
      <c r="A17" s="81">
        <v>32891</v>
      </c>
      <c r="B17" s="46" t="str">
        <f t="shared" si="6"/>
        <v>19900118</v>
      </c>
      <c r="C17" s="47" t="str">
        <f t="shared" si="7"/>
        <v>1990</v>
      </c>
      <c r="D17" s="48" t="str">
        <f t="shared" si="8"/>
        <v>01</v>
      </c>
      <c r="E17" s="49" t="str">
        <f t="shared" si="9"/>
        <v>18</v>
      </c>
      <c r="F17" s="50"/>
      <c r="G17" s="51"/>
      <c r="H17" s="52"/>
      <c r="I17" s="51"/>
      <c r="J17" s="46"/>
      <c r="K17" s="53">
        <f>IF(AND(C16=C17,D16=E17,D17=E16),$H$5,0)</f>
        <v>0</v>
      </c>
      <c r="L17" s="46" t="s">
        <v>22</v>
      </c>
      <c r="M17" s="54">
        <f>MAX(K16:K17)</f>
        <v>0.75</v>
      </c>
      <c r="N17" s="46" t="s">
        <v>23</v>
      </c>
      <c r="O17" s="55" t="s">
        <v>24</v>
      </c>
      <c r="P17" s="56" t="s">
        <v>28</v>
      </c>
      <c r="Q17" s="53">
        <f>AVERAGE(M17:M18)</f>
        <v>0.67500000000000004</v>
      </c>
      <c r="R17" s="82"/>
    </row>
    <row r="18" spans="1:18" x14ac:dyDescent="0.2">
      <c r="A18" s="58" t="s">
        <v>29</v>
      </c>
      <c r="B18" s="46"/>
      <c r="C18" s="59"/>
      <c r="D18" s="60"/>
      <c r="E18" s="61"/>
      <c r="F18" s="50"/>
      <c r="G18" s="52"/>
      <c r="H18" s="52"/>
      <c r="I18" s="52"/>
      <c r="J18" s="46"/>
      <c r="K18" s="46"/>
      <c r="L18" s="46"/>
      <c r="M18" s="54">
        <f t="array" ref="M18">MAX(1-Levenshtein_Distance(B16,B17)*$H$6,0)</f>
        <v>0.6</v>
      </c>
      <c r="N18" s="46" t="s">
        <v>26</v>
      </c>
      <c r="O18" s="55" t="s">
        <v>24</v>
      </c>
      <c r="P18" s="56"/>
      <c r="Q18" s="46"/>
      <c r="R18" s="57"/>
    </row>
    <row r="19" spans="1:18" x14ac:dyDescent="0.2">
      <c r="A19" s="62"/>
      <c r="B19" s="63"/>
      <c r="C19" s="64"/>
      <c r="D19" s="65"/>
      <c r="E19" s="66"/>
      <c r="F19" s="67"/>
      <c r="G19" s="68">
        <f t="array" ref="G19">1-Levenshtein_Distance(C16,C17)*$H$7</f>
        <v>1</v>
      </c>
      <c r="H19" s="68">
        <f t="array" ref="H19">1-Levenshtein_Distance(D16,D17)*$H$7</f>
        <v>1</v>
      </c>
      <c r="I19" s="68">
        <f t="array" ref="I19">1-Levenshtein_Distance(E16,E17)*$H$7</f>
        <v>0</v>
      </c>
      <c r="J19" s="63"/>
      <c r="K19" s="63"/>
      <c r="L19" s="63"/>
      <c r="M19" s="69">
        <f>MAX(1- ((1-G19)*$I$2 + (1-H19)*$I$3 + (1-I19)*$I$4), 0)</f>
        <v>0.75</v>
      </c>
      <c r="N19" s="63" t="s">
        <v>27</v>
      </c>
      <c r="O19" s="70" t="s">
        <v>24</v>
      </c>
      <c r="P19" s="71"/>
      <c r="Q19" s="63"/>
      <c r="R19" s="72"/>
    </row>
    <row r="20" spans="1:18" x14ac:dyDescent="0.2">
      <c r="A20" s="73"/>
      <c r="B20" s="73"/>
      <c r="C20" s="74"/>
      <c r="D20" s="75"/>
      <c r="E20" s="76"/>
      <c r="F20" s="77"/>
      <c r="G20" s="78"/>
      <c r="H20" s="78"/>
      <c r="I20" s="78"/>
      <c r="J20" s="73"/>
      <c r="K20" s="73"/>
      <c r="L20" s="73"/>
      <c r="M20" s="79"/>
      <c r="N20" s="73"/>
      <c r="O20" s="73"/>
      <c r="P20" s="80"/>
      <c r="Q20" s="73"/>
      <c r="R20" s="73"/>
    </row>
    <row r="21" spans="1:18" ht="15.75" customHeight="1" x14ac:dyDescent="0.2">
      <c r="A21" s="34">
        <v>32917</v>
      </c>
      <c r="B21" s="35" t="str">
        <f t="shared" ref="B21:B22" si="11">CONCATENATE(C21,D21,E21)</f>
        <v>19900213</v>
      </c>
      <c r="C21" s="36" t="str">
        <f t="shared" ref="C21:C22" si="12">TEXT(YEAR($A21), "0000")</f>
        <v>1990</v>
      </c>
      <c r="D21" s="37" t="str">
        <f t="shared" ref="D21:D22" si="13">TEXT(MONTH($A21),"00")</f>
        <v>02</v>
      </c>
      <c r="E21" s="38" t="str">
        <f t="shared" ref="E21:E22" si="14">TEXT(DAY(A21),"00")</f>
        <v>13</v>
      </c>
      <c r="F21" s="39"/>
      <c r="G21" s="40">
        <f>IF(C22=C21, 1,
         IF(AND(LEFT(C22,2)=LEFT(C21,2),
                     LEFT(RIGHT(C21,2),1)= RIGHT(C22,1),
                     LEFT(RIGHT(C22,2),1)= RIGHT(C21,1)      ), 0.6, 0))</f>
        <v>1</v>
      </c>
      <c r="H21" s="40">
        <f t="shared" ref="H21:I21" si="15">IF(D22=D21, 1,
         IF(AND(LEFT(D22,1)=RIGHT(D21,1),  LEFT(D21,1)= RIGHT(D22,1) ), 0.6, 0))</f>
        <v>0</v>
      </c>
      <c r="I21" s="40">
        <f t="shared" si="15"/>
        <v>1</v>
      </c>
      <c r="J21" s="35"/>
      <c r="K21" s="41">
        <f>(G21*$H$2+H21*$H$3+I21*$H$4)/SUM($H$2:$H$4)</f>
        <v>0.66666666666666663</v>
      </c>
      <c r="L21" s="35" t="s">
        <v>21</v>
      </c>
      <c r="M21" s="42"/>
      <c r="N21" s="35"/>
      <c r="O21" s="35"/>
      <c r="P21" s="43"/>
      <c r="Q21" s="35"/>
      <c r="R21" s="44"/>
    </row>
    <row r="22" spans="1:18" ht="15.75" customHeight="1" x14ac:dyDescent="0.2">
      <c r="A22" s="81">
        <v>32976</v>
      </c>
      <c r="B22" s="46" t="str">
        <f t="shared" si="11"/>
        <v>19900413</v>
      </c>
      <c r="C22" s="47" t="str">
        <f t="shared" si="12"/>
        <v>1990</v>
      </c>
      <c r="D22" s="48" t="str">
        <f t="shared" si="13"/>
        <v>04</v>
      </c>
      <c r="E22" s="49" t="str">
        <f t="shared" si="14"/>
        <v>13</v>
      </c>
      <c r="F22" s="50"/>
      <c r="G22" s="51"/>
      <c r="H22" s="52"/>
      <c r="I22" s="51"/>
      <c r="J22" s="46"/>
      <c r="K22" s="53">
        <f>IF(AND(C21=C22,D21=E22,D22=E21),$H$5,0)</f>
        <v>0</v>
      </c>
      <c r="L22" s="46" t="s">
        <v>22</v>
      </c>
      <c r="M22" s="54">
        <f>MAX(K21:K22)</f>
        <v>0.66666666666666663</v>
      </c>
      <c r="N22" s="46" t="s">
        <v>23</v>
      </c>
      <c r="O22" s="55" t="s">
        <v>24</v>
      </c>
      <c r="P22" s="56"/>
      <c r="Q22" s="53">
        <f>AVERAGE(M22:M23)</f>
        <v>0.73333333333333339</v>
      </c>
      <c r="R22" s="57"/>
    </row>
    <row r="23" spans="1:18" ht="15.75" customHeight="1" x14ac:dyDescent="0.2">
      <c r="A23" s="58" t="s">
        <v>30</v>
      </c>
      <c r="B23" s="46"/>
      <c r="C23" s="59"/>
      <c r="D23" s="60"/>
      <c r="E23" s="61"/>
      <c r="F23" s="50"/>
      <c r="G23" s="52"/>
      <c r="H23" s="52"/>
      <c r="I23" s="52"/>
      <c r="J23" s="46"/>
      <c r="K23" s="46"/>
      <c r="L23" s="46"/>
      <c r="M23" s="54">
        <f t="array" ref="M23">MAX(1-Levenshtein_Distance(B21,B22)*$H$6,0)</f>
        <v>0.8</v>
      </c>
      <c r="N23" s="46" t="s">
        <v>26</v>
      </c>
      <c r="O23" s="55" t="s">
        <v>31</v>
      </c>
      <c r="P23" s="56"/>
      <c r="Q23" s="46"/>
      <c r="R23" s="57"/>
    </row>
    <row r="24" spans="1:18" ht="15.75" customHeight="1" x14ac:dyDescent="0.2">
      <c r="A24" s="62"/>
      <c r="B24" s="63"/>
      <c r="C24" s="64"/>
      <c r="D24" s="65"/>
      <c r="E24" s="66"/>
      <c r="F24" s="67"/>
      <c r="G24" s="68">
        <f t="array" ref="G24">1-Levenshtein_Distance(C21,C22)*$H$7</f>
        <v>1</v>
      </c>
      <c r="H24" s="68">
        <f t="array" ref="H24">1-Levenshtein_Distance(D21,D22)*$H$7</f>
        <v>0.5</v>
      </c>
      <c r="I24" s="68">
        <f t="array" ref="I24">1-Levenshtein_Distance(E21,E22)*$H$7</f>
        <v>1</v>
      </c>
      <c r="J24" s="63"/>
      <c r="K24" s="63"/>
      <c r="L24" s="63"/>
      <c r="M24" s="69">
        <f>MAX(1- ((1-G24)*$I$2 + (1-H24)*$I$3 + (1-I24)*$I$4), 0)</f>
        <v>0.83333333333333337</v>
      </c>
      <c r="N24" s="63" t="s">
        <v>27</v>
      </c>
      <c r="O24" s="70" t="s">
        <v>31</v>
      </c>
      <c r="P24" s="71"/>
      <c r="Q24" s="63"/>
      <c r="R24" s="72"/>
    </row>
    <row r="25" spans="1:18" ht="15.75" customHeight="1" x14ac:dyDescent="0.2">
      <c r="A25" s="73"/>
      <c r="B25" s="73"/>
      <c r="C25" s="74"/>
      <c r="D25" s="75"/>
      <c r="E25" s="76"/>
      <c r="F25" s="77"/>
      <c r="G25" s="78"/>
      <c r="H25" s="78"/>
      <c r="I25" s="78"/>
      <c r="J25" s="73"/>
      <c r="K25" s="73"/>
      <c r="L25" s="73"/>
      <c r="M25" s="79"/>
      <c r="N25" s="73"/>
      <c r="O25" s="73"/>
      <c r="P25" s="80"/>
      <c r="Q25" s="73"/>
      <c r="R25" s="73"/>
    </row>
    <row r="26" spans="1:18" ht="15.75" customHeight="1" x14ac:dyDescent="0.2">
      <c r="A26" s="34">
        <v>32917</v>
      </c>
      <c r="B26" s="35" t="str">
        <f t="shared" ref="B26:B27" si="16">CONCATENATE(C26,D26,E26)</f>
        <v>19900213</v>
      </c>
      <c r="C26" s="36" t="str">
        <f t="shared" ref="C26:C27" si="17">TEXT(YEAR($A26), "0000")</f>
        <v>1990</v>
      </c>
      <c r="D26" s="37" t="str">
        <f t="shared" ref="D26:D27" si="18">TEXT(MONTH($A26),"00")</f>
        <v>02</v>
      </c>
      <c r="E26" s="38" t="str">
        <f t="shared" ref="E26:E27" si="19">TEXT(DAY(A26),"00")</f>
        <v>13</v>
      </c>
      <c r="F26" s="39"/>
      <c r="G26" s="40">
        <f>IF(C27=C26, 1,
         IF(AND(LEFT(C27,2)=LEFT(C26,2),
                     LEFT(RIGHT(C26,2),1)= RIGHT(C27,1),
                     LEFT(RIGHT(C27,2),1)= RIGHT(C26,1)      ), 0.6, 0))</f>
        <v>0</v>
      </c>
      <c r="H26" s="40">
        <f t="shared" ref="H26:I26" si="20">IF(D27=D26, 1,
         IF(AND(LEFT(D27,1)=RIGHT(D26,1),  LEFT(D26,1)= RIGHT(D27,1) ), 0.6, 0))</f>
        <v>1</v>
      </c>
      <c r="I26" s="40">
        <f t="shared" si="20"/>
        <v>1</v>
      </c>
      <c r="J26" s="35"/>
      <c r="K26" s="41">
        <f>(G26*$H$2+H26*$H$3+I26*$H$4)/SUM($H$2:$H$4)</f>
        <v>0.58333333333333337</v>
      </c>
      <c r="L26" s="35" t="s">
        <v>21</v>
      </c>
      <c r="M26" s="42"/>
      <c r="N26" s="35"/>
      <c r="O26" s="35"/>
      <c r="P26" s="43"/>
      <c r="Q26" s="35"/>
      <c r="R26" s="44"/>
    </row>
    <row r="27" spans="1:18" ht="15.75" customHeight="1" x14ac:dyDescent="0.2">
      <c r="A27" s="81">
        <v>33282</v>
      </c>
      <c r="B27" s="46" t="str">
        <f t="shared" si="16"/>
        <v>19910213</v>
      </c>
      <c r="C27" s="47" t="str">
        <f t="shared" si="17"/>
        <v>1991</v>
      </c>
      <c r="D27" s="48" t="str">
        <f t="shared" si="18"/>
        <v>02</v>
      </c>
      <c r="E27" s="49" t="str">
        <f t="shared" si="19"/>
        <v>13</v>
      </c>
      <c r="F27" s="50"/>
      <c r="G27" s="51"/>
      <c r="H27" s="52"/>
      <c r="I27" s="51"/>
      <c r="J27" s="46"/>
      <c r="K27" s="53">
        <f>IF(AND(C26=C27,D26=E27,D27=E26),$H$5,0)</f>
        <v>0</v>
      </c>
      <c r="L27" s="46" t="s">
        <v>22</v>
      </c>
      <c r="M27" s="54">
        <f>MAX(K26:K27)</f>
        <v>0.58333333333333337</v>
      </c>
      <c r="N27" s="46" t="s">
        <v>23</v>
      </c>
      <c r="O27" s="55" t="s">
        <v>24</v>
      </c>
      <c r="P27" s="56"/>
      <c r="Q27" s="53">
        <f>AVERAGE(M27:M28)</f>
        <v>0.69166666666666665</v>
      </c>
      <c r="R27" s="57"/>
    </row>
    <row r="28" spans="1:18" ht="15.75" customHeight="1" x14ac:dyDescent="0.2">
      <c r="A28" s="58" t="s">
        <v>32</v>
      </c>
      <c r="B28" s="46"/>
      <c r="C28" s="59"/>
      <c r="D28" s="60"/>
      <c r="E28" s="61"/>
      <c r="F28" s="50"/>
      <c r="G28" s="52"/>
      <c r="H28" s="52"/>
      <c r="I28" s="52"/>
      <c r="J28" s="46"/>
      <c r="K28" s="46"/>
      <c r="L28" s="46"/>
      <c r="M28" s="54">
        <f t="array" ref="M28">MAX(1-Levenshtein_Distance(B26,B27)*$H$6,0)</f>
        <v>0.8</v>
      </c>
      <c r="N28" s="46" t="s">
        <v>26</v>
      </c>
      <c r="O28" s="55" t="s">
        <v>31</v>
      </c>
      <c r="P28" s="56"/>
      <c r="Q28" s="46"/>
      <c r="R28" s="57"/>
    </row>
    <row r="29" spans="1:18" ht="15.75" customHeight="1" x14ac:dyDescent="0.2">
      <c r="A29" s="62"/>
      <c r="B29" s="63"/>
      <c r="C29" s="64"/>
      <c r="D29" s="65"/>
      <c r="E29" s="66"/>
      <c r="F29" s="67"/>
      <c r="G29" s="68">
        <f t="array" ref="G29">1-Levenshtein_Distance(C26,C27)*$H$7</f>
        <v>0.5</v>
      </c>
      <c r="H29" s="68">
        <f t="array" ref="H29">1-Levenshtein_Distance(D26,D27)*$H$7</f>
        <v>1</v>
      </c>
      <c r="I29" s="68">
        <f t="array" ref="I29">1-Levenshtein_Distance(E26,E27)*$H$7</f>
        <v>1</v>
      </c>
      <c r="J29" s="63"/>
      <c r="K29" s="63"/>
      <c r="L29" s="63"/>
      <c r="M29" s="69">
        <f>MAX(1- ((1-G29)*$I$2 + (1-H29)*$I$3 + (1-I29)*$I$4), 0)</f>
        <v>0.79166666666666663</v>
      </c>
      <c r="N29" s="63" t="s">
        <v>27</v>
      </c>
      <c r="O29" s="70" t="s">
        <v>24</v>
      </c>
      <c r="P29" s="71"/>
      <c r="Q29" s="63"/>
      <c r="R29" s="72"/>
    </row>
    <row r="30" spans="1:18" ht="15.75" customHeight="1" x14ac:dyDescent="0.2">
      <c r="A30" s="73"/>
      <c r="B30" s="73"/>
      <c r="C30" s="74"/>
      <c r="D30" s="75"/>
      <c r="E30" s="76"/>
      <c r="F30" s="77"/>
      <c r="G30" s="78"/>
      <c r="H30" s="78"/>
      <c r="I30" s="78"/>
      <c r="J30" s="73"/>
      <c r="K30" s="73"/>
      <c r="L30" s="73"/>
      <c r="M30" s="79"/>
      <c r="N30" s="73"/>
      <c r="O30" s="73"/>
      <c r="P30" s="80"/>
      <c r="Q30" s="73"/>
      <c r="R30" s="73"/>
    </row>
    <row r="31" spans="1:18" ht="15.75" customHeight="1" x14ac:dyDescent="0.2">
      <c r="A31" s="34">
        <v>44333</v>
      </c>
      <c r="B31" s="35" t="str">
        <f t="shared" ref="B31:B32" si="21">CONCATENATE(C31,D31,E31)</f>
        <v>20210517</v>
      </c>
      <c r="C31" s="36" t="str">
        <f t="shared" ref="C31:C32" si="22">TEXT(YEAR($A31), "0000")</f>
        <v>2021</v>
      </c>
      <c r="D31" s="37" t="str">
        <f t="shared" ref="D31:D32" si="23">TEXT(MONTH($A31),"00")</f>
        <v>05</v>
      </c>
      <c r="E31" s="38" t="str">
        <f t="shared" ref="E31:E32" si="24">TEXT(DAY(A31),"00")</f>
        <v>17</v>
      </c>
      <c r="F31" s="39"/>
      <c r="G31" s="40">
        <f>IF(C32=C31, 1,
         IF(AND(LEFT(C32,2)=LEFT(C31,2),
                     LEFT(RIGHT(C31,2),1)= RIGHT(C32,1),
                     LEFT(RIGHT(C32,2),1)= RIGHT(C31,1)      ), 0.6, 0))</f>
        <v>0.6</v>
      </c>
      <c r="H31" s="40">
        <f t="shared" ref="H31:I31" si="25">IF(D32=D31, 1,
         IF(AND(LEFT(D32,1)=RIGHT(D31,1),  LEFT(D31,1)= RIGHT(D32,1) ), 0.6, 0))</f>
        <v>1</v>
      </c>
      <c r="I31" s="40">
        <f t="shared" si="25"/>
        <v>1</v>
      </c>
      <c r="J31" s="35"/>
      <c r="K31" s="41">
        <f>(G31*$H$2+H31*$H$3+I31*$H$4)/SUM($H$2:$H$4)</f>
        <v>0.83333333333333337</v>
      </c>
      <c r="L31" s="35" t="s">
        <v>21</v>
      </c>
      <c r="M31" s="42"/>
      <c r="N31" s="35"/>
      <c r="O31" s="35"/>
      <c r="P31" s="43"/>
      <c r="Q31" s="35"/>
      <c r="R31" s="44"/>
    </row>
    <row r="32" spans="1:18" ht="15.75" customHeight="1" x14ac:dyDescent="0.2">
      <c r="A32" s="81">
        <v>41046</v>
      </c>
      <c r="B32" s="46" t="str">
        <f t="shared" si="21"/>
        <v>20120517</v>
      </c>
      <c r="C32" s="47" t="str">
        <f t="shared" si="22"/>
        <v>2012</v>
      </c>
      <c r="D32" s="48" t="str">
        <f t="shared" si="23"/>
        <v>05</v>
      </c>
      <c r="E32" s="49" t="str">
        <f t="shared" si="24"/>
        <v>17</v>
      </c>
      <c r="F32" s="50"/>
      <c r="G32" s="51"/>
      <c r="H32" s="52"/>
      <c r="I32" s="51"/>
      <c r="J32" s="46"/>
      <c r="K32" s="53">
        <f>IF(AND(C31=C32,D31=E32,D32=E31),$H$5,0)</f>
        <v>0</v>
      </c>
      <c r="L32" s="46" t="s">
        <v>22</v>
      </c>
      <c r="M32" s="54">
        <f>MAX(K31:K32)</f>
        <v>0.83333333333333337</v>
      </c>
      <c r="N32" s="46" t="s">
        <v>23</v>
      </c>
      <c r="O32" s="55" t="s">
        <v>24</v>
      </c>
      <c r="P32" s="56"/>
      <c r="Q32" s="53">
        <f>AVERAGE(M32:M33)</f>
        <v>0.71666666666666667</v>
      </c>
      <c r="R32" s="57"/>
    </row>
    <row r="33" spans="1:18" ht="15.75" customHeight="1" x14ac:dyDescent="0.2">
      <c r="A33" s="58" t="s">
        <v>33</v>
      </c>
      <c r="B33" s="46"/>
      <c r="C33" s="59"/>
      <c r="D33" s="60"/>
      <c r="E33" s="61"/>
      <c r="F33" s="50"/>
      <c r="G33" s="52"/>
      <c r="H33" s="52"/>
      <c r="I33" s="52"/>
      <c r="J33" s="46"/>
      <c r="K33" s="46"/>
      <c r="L33" s="46"/>
      <c r="M33" s="54">
        <f t="array" ref="M33">MAX(1-Levenshtein_Distance(B31,B32)*$H$6,0)</f>
        <v>0.6</v>
      </c>
      <c r="N33" s="46" t="s">
        <v>26</v>
      </c>
      <c r="O33" s="55" t="s">
        <v>31</v>
      </c>
      <c r="P33" s="56"/>
      <c r="Q33" s="46"/>
      <c r="R33" s="57"/>
    </row>
    <row r="34" spans="1:18" ht="15.75" customHeight="1" x14ac:dyDescent="0.2">
      <c r="A34" s="62"/>
      <c r="B34" s="63"/>
      <c r="C34" s="64"/>
      <c r="D34" s="65"/>
      <c r="E34" s="66"/>
      <c r="F34" s="67"/>
      <c r="G34" s="68">
        <f t="array" ref="G34">1-Levenshtein_Distance(C31,C32)*$H$7</f>
        <v>0</v>
      </c>
      <c r="H34" s="68">
        <f t="array" ref="H34">1-Levenshtein_Distance(D31,D32)*$H$7</f>
        <v>1</v>
      </c>
      <c r="I34" s="68">
        <f t="array" ref="I34">1-Levenshtein_Distance(E31,E32)*$H$7</f>
        <v>1</v>
      </c>
      <c r="J34" s="63"/>
      <c r="K34" s="63"/>
      <c r="L34" s="63"/>
      <c r="M34" s="69">
        <f>MAX(1- ((1-G34)*$I$2 + (1-H34)*$I$3 + (1-I34)*$I$4), 0)</f>
        <v>0.58333333333333326</v>
      </c>
      <c r="N34" s="63" t="s">
        <v>27</v>
      </c>
      <c r="O34" s="70" t="s">
        <v>31</v>
      </c>
      <c r="P34" s="71"/>
      <c r="Q34" s="63"/>
      <c r="R34" s="72"/>
    </row>
    <row r="35" spans="1:18" ht="15.75" customHeight="1" x14ac:dyDescent="0.2">
      <c r="A35" s="73"/>
      <c r="B35" s="73"/>
      <c r="C35" s="74"/>
      <c r="D35" s="75"/>
      <c r="E35" s="76"/>
      <c r="F35" s="77"/>
      <c r="G35" s="78"/>
      <c r="H35" s="78"/>
      <c r="I35" s="78"/>
      <c r="J35" s="73"/>
      <c r="K35" s="73"/>
      <c r="L35" s="73"/>
      <c r="M35" s="79"/>
      <c r="N35" s="73"/>
      <c r="O35" s="73"/>
      <c r="P35" s="80"/>
      <c r="Q35" s="73"/>
      <c r="R35" s="73"/>
    </row>
    <row r="36" spans="1:18" ht="15.75" customHeight="1" x14ac:dyDescent="0.2">
      <c r="A36" s="34">
        <v>33828</v>
      </c>
      <c r="B36" s="35" t="str">
        <f t="shared" ref="B36:B37" si="26">CONCATENATE(C36,D36,E36)</f>
        <v>19920812</v>
      </c>
      <c r="C36" s="36" t="str">
        <f t="shared" ref="C36:C37" si="27">TEXT(YEAR($A36), "0000")</f>
        <v>1992</v>
      </c>
      <c r="D36" s="37" t="str">
        <f t="shared" ref="D36:D37" si="28">TEXT(MONTH($A36),"00")</f>
        <v>08</v>
      </c>
      <c r="E36" s="38" t="str">
        <f t="shared" ref="E36:E37" si="29">TEXT(DAY(A36),"00")</f>
        <v>12</v>
      </c>
      <c r="F36" s="39"/>
      <c r="G36" s="40">
        <f>IF(C37=C36, 1,
         IF(AND(LEFT(C37,2)=LEFT(C36,2),
                     LEFT(RIGHT(C36,2),1)= RIGHT(C37,1),
                     LEFT(RIGHT(C37,2),1)= RIGHT(C36,1)      ), 0.6, 0))</f>
        <v>1</v>
      </c>
      <c r="H36" s="40">
        <f t="shared" ref="H36:I36" si="30">IF(D37=D36, 1,
         IF(AND(LEFT(D37,1)=RIGHT(D36,1),  LEFT(D36,1)= RIGHT(D37,1) ), 0.6, 0))</f>
        <v>0</v>
      </c>
      <c r="I36" s="40">
        <f t="shared" si="30"/>
        <v>0</v>
      </c>
      <c r="J36" s="35"/>
      <c r="K36" s="41">
        <f>(G36*$H$2+H36*$H$3+I36*$H$4)/SUM($H$2:$H$4)</f>
        <v>0.41666666666666669</v>
      </c>
      <c r="L36" s="35" t="s">
        <v>21</v>
      </c>
      <c r="M36" s="42"/>
      <c r="N36" s="35"/>
      <c r="O36" s="35"/>
      <c r="P36" s="43"/>
      <c r="Q36" s="35"/>
      <c r="R36" s="44"/>
    </row>
    <row r="37" spans="1:18" ht="15.75" customHeight="1" x14ac:dyDescent="0.2">
      <c r="A37" s="81">
        <v>33946</v>
      </c>
      <c r="B37" s="46" t="str">
        <f t="shared" si="26"/>
        <v>19921208</v>
      </c>
      <c r="C37" s="47" t="str">
        <f t="shared" si="27"/>
        <v>1992</v>
      </c>
      <c r="D37" s="48" t="str">
        <f t="shared" si="28"/>
        <v>12</v>
      </c>
      <c r="E37" s="49" t="str">
        <f t="shared" si="29"/>
        <v>08</v>
      </c>
      <c r="F37" s="50"/>
      <c r="G37" s="51"/>
      <c r="H37" s="52"/>
      <c r="I37" s="51"/>
      <c r="J37" s="46"/>
      <c r="K37" s="53">
        <f>IF(AND(C36=C37,D36=E37,D37=E36),$H$5,0)</f>
        <v>0.9</v>
      </c>
      <c r="L37" s="46" t="s">
        <v>22</v>
      </c>
      <c r="M37" s="54">
        <f>MAX(K36:K37)</f>
        <v>0.9</v>
      </c>
      <c r="N37" s="46" t="s">
        <v>23</v>
      </c>
      <c r="O37" s="55" t="s">
        <v>24</v>
      </c>
      <c r="P37" s="56"/>
      <c r="Q37" s="53">
        <f>AVERAGE(M37:M38)</f>
        <v>0.55000000000000004</v>
      </c>
      <c r="R37" s="57"/>
    </row>
    <row r="38" spans="1:18" ht="15.75" customHeight="1" x14ac:dyDescent="0.2">
      <c r="A38" s="58" t="s">
        <v>34</v>
      </c>
      <c r="B38" s="46"/>
      <c r="C38" s="59"/>
      <c r="D38" s="60"/>
      <c r="E38" s="61"/>
      <c r="F38" s="50"/>
      <c r="G38" s="52"/>
      <c r="H38" s="52"/>
      <c r="I38" s="52"/>
      <c r="J38" s="46"/>
      <c r="K38" s="46"/>
      <c r="L38" s="46"/>
      <c r="M38" s="54">
        <f t="array" ref="M38">MAX(1-Levenshtein_Distance(B36,B37)*$H$6,0)</f>
        <v>0.19999999999999996</v>
      </c>
      <c r="N38" s="46" t="s">
        <v>26</v>
      </c>
      <c r="O38" s="55" t="s">
        <v>31</v>
      </c>
      <c r="P38" s="56"/>
      <c r="Q38" s="46"/>
      <c r="R38" s="57"/>
    </row>
    <row r="39" spans="1:18" ht="15.75" customHeight="1" x14ac:dyDescent="0.2">
      <c r="A39" s="62"/>
      <c r="B39" s="63"/>
      <c r="C39" s="64"/>
      <c r="D39" s="65"/>
      <c r="E39" s="66"/>
      <c r="F39" s="67"/>
      <c r="G39" s="68">
        <f t="array" ref="G39">1-Levenshtein_Distance(C36,C37)*$H$7</f>
        <v>1</v>
      </c>
      <c r="H39" s="68">
        <f t="array" ref="H39">1-Levenshtein_Distance(D36,D37)*$H$7</f>
        <v>0</v>
      </c>
      <c r="I39" s="68">
        <f t="array" ref="I39">1-Levenshtein_Distance(E36,E37)*$H$7</f>
        <v>0</v>
      </c>
      <c r="J39" s="63"/>
      <c r="K39" s="63"/>
      <c r="L39" s="63"/>
      <c r="M39" s="69">
        <f>MAX(1- ((1-G39)*$I$2 + (1-H39)*$I$3 + (1-I39)*$I$4), 0)</f>
        <v>0.41666666666666674</v>
      </c>
      <c r="N39" s="63" t="s">
        <v>27</v>
      </c>
      <c r="O39" s="70" t="s">
        <v>31</v>
      </c>
      <c r="P39" s="71"/>
      <c r="Q39" s="63"/>
      <c r="R39" s="72"/>
    </row>
    <row r="40" spans="1:18" ht="15.75" customHeight="1" x14ac:dyDescent="0.2">
      <c r="A40" s="73"/>
      <c r="B40" s="73"/>
      <c r="C40" s="74"/>
      <c r="D40" s="75"/>
      <c r="E40" s="76"/>
      <c r="F40" s="77"/>
      <c r="G40" s="78"/>
      <c r="H40" s="78"/>
      <c r="I40" s="78"/>
      <c r="J40" s="73"/>
      <c r="K40" s="73"/>
      <c r="L40" s="73"/>
      <c r="M40" s="79"/>
      <c r="N40" s="73"/>
      <c r="O40" s="73"/>
      <c r="P40" s="80"/>
      <c r="Q40" s="73"/>
      <c r="R40" s="73"/>
    </row>
    <row r="41" spans="1:18" ht="15.75" customHeight="1" x14ac:dyDescent="0.2">
      <c r="A41" s="34">
        <v>43831</v>
      </c>
      <c r="B41" s="35" t="str">
        <f t="shared" ref="B41:B42" si="31">CONCATENATE(C41,D41,E41)</f>
        <v>20200101</v>
      </c>
      <c r="C41" s="36" t="str">
        <f t="shared" ref="C41:C42" si="32">TEXT(YEAR($A41), "0000")</f>
        <v>2020</v>
      </c>
      <c r="D41" s="37" t="str">
        <f t="shared" ref="D41:D42" si="33">TEXT(MONTH($A41),"00")</f>
        <v>01</v>
      </c>
      <c r="E41" s="38" t="str">
        <f t="shared" ref="E41:E42" si="34">TEXT(DAY(A41),"00")</f>
        <v>01</v>
      </c>
      <c r="F41" s="39"/>
      <c r="G41" s="40">
        <f>IF(C42=C41, 1,
         IF(AND(LEFT(C42,2)=LEFT(C41,2),
                     LEFT(RIGHT(C41,2),1)= RIGHT(C42,1),
                     LEFT(RIGHT(C42,2),1)= RIGHT(C41,1)      ), 0.6, 0))</f>
        <v>0</v>
      </c>
      <c r="H41" s="40">
        <f t="shared" ref="H41:I41" si="35">IF(D42=D41, 1,
         IF(AND(LEFT(D42,1)=RIGHT(D41,1),  LEFT(D41,1)= RIGHT(D42,1) ), 0.6, 0))</f>
        <v>0</v>
      </c>
      <c r="I41" s="40">
        <f t="shared" si="35"/>
        <v>0</v>
      </c>
      <c r="J41" s="35"/>
      <c r="K41" s="41">
        <f>(G41*$H$2+H41*$H$3+I41*$H$4)/SUM($H$2:$H$4)</f>
        <v>0</v>
      </c>
      <c r="L41" s="35" t="s">
        <v>21</v>
      </c>
      <c r="M41" s="42"/>
      <c r="N41" s="35"/>
      <c r="O41" s="35"/>
      <c r="P41" s="43"/>
      <c r="Q41" s="35"/>
      <c r="R41" s="44"/>
    </row>
    <row r="42" spans="1:18" ht="15.75" customHeight="1" x14ac:dyDescent="0.2">
      <c r="A42" s="81">
        <v>31242</v>
      </c>
      <c r="B42" s="46" t="str">
        <f t="shared" si="31"/>
        <v>19850714</v>
      </c>
      <c r="C42" s="47" t="str">
        <f t="shared" si="32"/>
        <v>1985</v>
      </c>
      <c r="D42" s="48" t="str">
        <f t="shared" si="33"/>
        <v>07</v>
      </c>
      <c r="E42" s="49" t="str">
        <f t="shared" si="34"/>
        <v>14</v>
      </c>
      <c r="F42" s="50"/>
      <c r="G42" s="51"/>
      <c r="H42" s="52"/>
      <c r="I42" s="51"/>
      <c r="J42" s="46"/>
      <c r="K42" s="53">
        <f>IF(AND(C41=C42,D41=E42,D42=E41),$H$5,0)</f>
        <v>0</v>
      </c>
      <c r="L42" s="46" t="s">
        <v>22</v>
      </c>
      <c r="M42" s="54">
        <f>MAX(K41:K42)</f>
        <v>0</v>
      </c>
      <c r="N42" s="46" t="s">
        <v>23</v>
      </c>
      <c r="O42" s="55" t="s">
        <v>24</v>
      </c>
      <c r="P42" s="56"/>
      <c r="Q42" s="53">
        <f>AVERAGE(M42:M43)</f>
        <v>0</v>
      </c>
      <c r="R42" s="57"/>
    </row>
    <row r="43" spans="1:18" ht="15.75" customHeight="1" x14ac:dyDescent="0.2">
      <c r="A43" s="58" t="s">
        <v>35</v>
      </c>
      <c r="B43" s="46"/>
      <c r="C43" s="59"/>
      <c r="D43" s="60"/>
      <c r="E43" s="61"/>
      <c r="F43" s="50"/>
      <c r="G43" s="52"/>
      <c r="H43" s="52"/>
      <c r="I43" s="52"/>
      <c r="J43" s="46"/>
      <c r="K43" s="46"/>
      <c r="L43" s="46"/>
      <c r="M43" s="54">
        <f t="array" ref="M43">MAX(1-Levenshtein_Distance(B41,B42)*$H$6,0)</f>
        <v>0</v>
      </c>
      <c r="N43" s="46" t="s">
        <v>26</v>
      </c>
      <c r="O43" s="55" t="s">
        <v>24</v>
      </c>
      <c r="P43" s="56"/>
      <c r="Q43" s="46"/>
      <c r="R43" s="57"/>
    </row>
    <row r="44" spans="1:18" ht="15.75" customHeight="1" x14ac:dyDescent="0.2">
      <c r="A44" s="62"/>
      <c r="B44" s="63"/>
      <c r="C44" s="64"/>
      <c r="D44" s="65"/>
      <c r="E44" s="66"/>
      <c r="F44" s="67"/>
      <c r="G44" s="68">
        <f t="array" ref="G44">1-Levenshtein_Distance(C41,C42)*$H$7</f>
        <v>-1</v>
      </c>
      <c r="H44" s="68">
        <f t="array" ref="H44">1-Levenshtein_Distance(D41,D42)*$H$7</f>
        <v>0.5</v>
      </c>
      <c r="I44" s="68">
        <f t="array" ref="I44">1-Levenshtein_Distance(E41,E42)*$H$7</f>
        <v>0</v>
      </c>
      <c r="J44" s="63"/>
      <c r="K44" s="63"/>
      <c r="L44" s="63"/>
      <c r="M44" s="69">
        <f>MAX(1- ((1-G44)*$I$2 + (1-H44)*$I$3 + (1-I44)*$I$4), 0)</f>
        <v>0</v>
      </c>
      <c r="N44" s="63" t="s">
        <v>27</v>
      </c>
      <c r="O44" s="70" t="s">
        <v>24</v>
      </c>
      <c r="P44" s="71"/>
      <c r="Q44" s="63"/>
      <c r="R44" s="72"/>
    </row>
    <row r="45" spans="1:18" ht="15.75" customHeight="1" x14ac:dyDescent="0.2">
      <c r="A45" s="73"/>
      <c r="B45" s="73"/>
      <c r="C45" s="74"/>
      <c r="D45" s="75"/>
      <c r="E45" s="76"/>
      <c r="F45" s="77"/>
      <c r="G45" s="78"/>
      <c r="H45" s="78"/>
      <c r="I45" s="78"/>
      <c r="J45" s="73"/>
      <c r="K45" s="73"/>
      <c r="L45" s="73"/>
      <c r="M45" s="79"/>
      <c r="N45" s="73"/>
      <c r="O45" s="73"/>
      <c r="P45" s="80"/>
      <c r="Q45" s="73"/>
      <c r="R45" s="73"/>
    </row>
    <row r="46" spans="1:18" ht="15.75" customHeight="1" x14ac:dyDescent="0.2">
      <c r="A46" s="34">
        <v>27481</v>
      </c>
      <c r="B46" s="35" t="str">
        <f t="shared" ref="B46:B47" si="36">CONCATENATE(C46,D46,E46)</f>
        <v>19750328</v>
      </c>
      <c r="C46" s="36" t="str">
        <f t="shared" ref="C46:C47" si="37">TEXT(YEAR($A46), "0000")</f>
        <v>1975</v>
      </c>
      <c r="D46" s="37" t="str">
        <f t="shared" ref="D46:D47" si="38">TEXT(MONTH($A46),"00")</f>
        <v>03</v>
      </c>
      <c r="E46" s="38" t="str">
        <f t="shared" ref="E46:E47" si="39">TEXT(DAY(A46),"00")</f>
        <v>28</v>
      </c>
      <c r="F46" s="39"/>
      <c r="G46" s="40">
        <f>IF(C47=C46, 1,
         IF(AND(LEFT(C47,2)=LEFT(C46,2),
                     LEFT(RIGHT(C46,2),1)= RIGHT(C47,1),
                     LEFT(RIGHT(C47,2),1)= RIGHT(C46,1)      ), 0.6, 0))</f>
        <v>0</v>
      </c>
      <c r="H46" s="40">
        <f t="shared" ref="H46:I46" si="40">IF(D47=D46, 1,
         IF(AND(LEFT(D47,1)=RIGHT(D46,1),  LEFT(D46,1)= RIGHT(D47,1) ), 0.6, 0))</f>
        <v>1</v>
      </c>
      <c r="I46" s="40">
        <f t="shared" si="40"/>
        <v>0</v>
      </c>
      <c r="J46" s="35"/>
      <c r="K46" s="41">
        <f>(G46*$H$2+H46*$H$3+I46*$H$4)/SUM($H$2:$H$4)</f>
        <v>0.33333333333333331</v>
      </c>
      <c r="L46" s="35" t="s">
        <v>21</v>
      </c>
      <c r="M46" s="42"/>
      <c r="N46" s="35"/>
      <c r="O46" s="35"/>
      <c r="P46" s="43"/>
      <c r="Q46" s="35"/>
      <c r="R46" s="44"/>
    </row>
    <row r="47" spans="1:18" ht="15.75" customHeight="1" x14ac:dyDescent="0.2">
      <c r="A47" s="81">
        <v>31133</v>
      </c>
      <c r="B47" s="46" t="str">
        <f t="shared" si="36"/>
        <v>19850327</v>
      </c>
      <c r="C47" s="47" t="str">
        <f t="shared" si="37"/>
        <v>1985</v>
      </c>
      <c r="D47" s="48" t="str">
        <f t="shared" si="38"/>
        <v>03</v>
      </c>
      <c r="E47" s="49" t="str">
        <f t="shared" si="39"/>
        <v>27</v>
      </c>
      <c r="F47" s="50"/>
      <c r="G47" s="51"/>
      <c r="H47" s="52"/>
      <c r="I47" s="51"/>
      <c r="J47" s="46"/>
      <c r="K47" s="53">
        <f>IF(AND(C46=C47,D46=E47,D47=E46),$H$5,0)</f>
        <v>0</v>
      </c>
      <c r="L47" s="46" t="s">
        <v>22</v>
      </c>
      <c r="M47" s="54">
        <f>MAX(K46:K47)</f>
        <v>0.33333333333333331</v>
      </c>
      <c r="N47" s="46" t="s">
        <v>23</v>
      </c>
      <c r="O47" s="55" t="s">
        <v>24</v>
      </c>
      <c r="P47" s="56"/>
      <c r="Q47" s="53">
        <f>AVERAGE(M47:M48)</f>
        <v>0.46666666666666667</v>
      </c>
      <c r="R47" s="57"/>
    </row>
    <row r="48" spans="1:18" ht="15.75" customHeight="1" x14ac:dyDescent="0.2">
      <c r="A48" s="58" t="s">
        <v>35</v>
      </c>
      <c r="B48" s="46"/>
      <c r="C48" s="59"/>
      <c r="D48" s="60"/>
      <c r="E48" s="61"/>
      <c r="F48" s="50"/>
      <c r="G48" s="52"/>
      <c r="H48" s="52"/>
      <c r="I48" s="52"/>
      <c r="J48" s="46"/>
      <c r="K48" s="46"/>
      <c r="L48" s="46"/>
      <c r="M48" s="54">
        <f t="array" ref="M48">MAX(1-Levenshtein_Distance(B46,B47)*$H$6,0)</f>
        <v>0.6</v>
      </c>
      <c r="N48" s="46" t="s">
        <v>26</v>
      </c>
      <c r="O48" s="55" t="s">
        <v>24</v>
      </c>
      <c r="P48" s="56"/>
      <c r="Q48" s="46"/>
      <c r="R48" s="57"/>
    </row>
    <row r="49" spans="1:18" ht="15.75" customHeight="1" x14ac:dyDescent="0.2">
      <c r="A49" s="62"/>
      <c r="B49" s="63"/>
      <c r="C49" s="64"/>
      <c r="D49" s="65"/>
      <c r="E49" s="66"/>
      <c r="F49" s="67"/>
      <c r="G49" s="68">
        <f t="array" ref="G49">1-Levenshtein_Distance(C46,C47)*$H$7</f>
        <v>0.5</v>
      </c>
      <c r="H49" s="68">
        <f t="array" ref="H49">1-Levenshtein_Distance(D46,D47)*$H$7</f>
        <v>1</v>
      </c>
      <c r="I49" s="68">
        <f t="array" ref="I49">1-Levenshtein_Distance(E46,E47)*$H$7</f>
        <v>0.5</v>
      </c>
      <c r="J49" s="63"/>
      <c r="K49" s="63"/>
      <c r="L49" s="63"/>
      <c r="M49" s="69">
        <f>MAX(1- ((1-G49)*$I$2 + (1-H49)*$I$3 + (1-I49)*$I$4), 0)</f>
        <v>0.66666666666666663</v>
      </c>
      <c r="N49" s="63" t="s">
        <v>27</v>
      </c>
      <c r="O49" s="70" t="s">
        <v>24</v>
      </c>
      <c r="P49" s="71"/>
      <c r="Q49" s="63"/>
      <c r="R49" s="72"/>
    </row>
    <row r="50" spans="1:18" ht="15.75" customHeight="1" x14ac:dyDescent="0.2">
      <c r="A50" s="73"/>
      <c r="B50" s="73"/>
      <c r="C50" s="74"/>
      <c r="D50" s="75"/>
      <c r="E50" s="76"/>
      <c r="F50" s="77"/>
      <c r="G50" s="78"/>
      <c r="H50" s="78"/>
      <c r="I50" s="78"/>
      <c r="J50" s="73"/>
      <c r="K50" s="73"/>
      <c r="L50" s="73"/>
      <c r="M50" s="79"/>
      <c r="N50" s="73"/>
      <c r="O50" s="73"/>
      <c r="P50" s="80"/>
      <c r="Q50" s="73"/>
      <c r="R50" s="73"/>
    </row>
    <row r="51" spans="1:18" ht="15.75" customHeight="1" x14ac:dyDescent="0.2">
      <c r="A51" s="34">
        <v>22523</v>
      </c>
      <c r="B51" s="35" t="str">
        <f t="shared" ref="B51:B52" si="41">CONCATENATE(C51,D51,E51)</f>
        <v>19610830</v>
      </c>
      <c r="C51" s="36" t="str">
        <f t="shared" ref="C51:C52" si="42">TEXT(YEAR($A51), "0000")</f>
        <v>1961</v>
      </c>
      <c r="D51" s="37" t="str">
        <f t="shared" ref="D51:D52" si="43">TEXT(MONTH($A51),"00")</f>
        <v>08</v>
      </c>
      <c r="E51" s="38" t="str">
        <f t="shared" ref="E51:E52" si="44">TEXT(DAY(A51),"00")</f>
        <v>30</v>
      </c>
      <c r="F51" s="39"/>
      <c r="G51" s="40">
        <f>IF(C52=C51, 1,
         IF(AND(LEFT(C52,2)=LEFT(C51,2),
                     LEFT(RIGHT(C51,2),1)= RIGHT(C52,1),
                     LEFT(RIGHT(C52,2),1)= RIGHT(C51,1)      ), 0.6, 0))</f>
        <v>0</v>
      </c>
      <c r="H51" s="40">
        <f t="shared" ref="H51:I51" si="45">IF(D52=D51, 1,
         IF(AND(LEFT(D52,1)=RIGHT(D51,1),  LEFT(D51,1)= RIGHT(D52,1) ), 0.6, 0))</f>
        <v>1</v>
      </c>
      <c r="I51" s="40">
        <f t="shared" si="45"/>
        <v>1</v>
      </c>
      <c r="J51" s="35"/>
      <c r="K51" s="41">
        <f>(G51*$H$2+H51*$H$3+I51*$H$4)/SUM($H$2:$H$4)</f>
        <v>0.58333333333333337</v>
      </c>
      <c r="L51" s="35" t="s">
        <v>21</v>
      </c>
      <c r="M51" s="42"/>
      <c r="N51" s="35"/>
      <c r="O51" s="35"/>
      <c r="P51" s="43"/>
      <c r="Q51" s="35"/>
      <c r="R51" s="44"/>
    </row>
    <row r="52" spans="1:18" ht="15.75" customHeight="1" x14ac:dyDescent="0.2">
      <c r="A52" s="81">
        <v>29463</v>
      </c>
      <c r="B52" s="46" t="str">
        <f t="shared" si="41"/>
        <v>19800830</v>
      </c>
      <c r="C52" s="47" t="str">
        <f t="shared" si="42"/>
        <v>1980</v>
      </c>
      <c r="D52" s="48" t="str">
        <f t="shared" si="43"/>
        <v>08</v>
      </c>
      <c r="E52" s="49" t="str">
        <f t="shared" si="44"/>
        <v>30</v>
      </c>
      <c r="F52" s="50"/>
      <c r="G52" s="51"/>
      <c r="H52" s="52"/>
      <c r="I52" s="51"/>
      <c r="J52" s="46"/>
      <c r="K52" s="53">
        <f>IF(AND(C51=C52,D51=E52,D52=E51),$H$5,0)</f>
        <v>0</v>
      </c>
      <c r="L52" s="46" t="s">
        <v>22</v>
      </c>
      <c r="M52" s="54">
        <f>MAX(K51:K52)</f>
        <v>0.58333333333333337</v>
      </c>
      <c r="N52" s="46" t="s">
        <v>23</v>
      </c>
      <c r="O52" s="55" t="s">
        <v>24</v>
      </c>
      <c r="P52" s="56"/>
      <c r="Q52" s="53">
        <f>AVERAGE(M52:M53)</f>
        <v>0.59166666666666667</v>
      </c>
      <c r="R52" s="57"/>
    </row>
    <row r="53" spans="1:18" ht="15.75" customHeight="1" x14ac:dyDescent="0.2">
      <c r="A53" s="58" t="s">
        <v>36</v>
      </c>
      <c r="B53" s="46"/>
      <c r="C53" s="59"/>
      <c r="D53" s="60"/>
      <c r="E53" s="61"/>
      <c r="F53" s="50"/>
      <c r="G53" s="52"/>
      <c r="H53" s="52"/>
      <c r="I53" s="52"/>
      <c r="J53" s="46"/>
      <c r="K53" s="46"/>
      <c r="L53" s="46"/>
      <c r="M53" s="54">
        <f t="array" ref="M53">MAX(1-Levenshtein_Distance(B51,B52)*$H$6,0)</f>
        <v>0.6</v>
      </c>
      <c r="N53" s="46" t="s">
        <v>26</v>
      </c>
      <c r="O53" s="55" t="s">
        <v>24</v>
      </c>
      <c r="P53" s="56"/>
      <c r="Q53" s="46"/>
      <c r="R53" s="57"/>
    </row>
    <row r="54" spans="1:18" ht="15.75" customHeight="1" x14ac:dyDescent="0.2">
      <c r="A54" s="62"/>
      <c r="B54" s="63"/>
      <c r="C54" s="64"/>
      <c r="D54" s="65"/>
      <c r="E54" s="66"/>
      <c r="F54" s="67"/>
      <c r="G54" s="68">
        <f t="array" ref="G54">1-Levenshtein_Distance(C51,C52)*$H$7</f>
        <v>0</v>
      </c>
      <c r="H54" s="68">
        <f t="array" ref="H54">1-Levenshtein_Distance(D51,D52)*$H$7</f>
        <v>1</v>
      </c>
      <c r="I54" s="68">
        <f t="array" ref="I54">1-Levenshtein_Distance(E51,E52)*$H$7</f>
        <v>1</v>
      </c>
      <c r="J54" s="63"/>
      <c r="K54" s="63"/>
      <c r="L54" s="63"/>
      <c r="M54" s="69">
        <f>MAX(1- ((1-G54)*$I$2 + (1-H54)*$I$3 + (1-I54)*$I$4), 0)</f>
        <v>0.58333333333333326</v>
      </c>
      <c r="N54" s="63" t="s">
        <v>27</v>
      </c>
      <c r="O54" s="70" t="s">
        <v>24</v>
      </c>
      <c r="P54" s="71"/>
      <c r="Q54" s="63"/>
      <c r="R54" s="72"/>
    </row>
    <row r="55" spans="1:18" ht="15.75" customHeight="1" x14ac:dyDescent="0.2">
      <c r="A55" s="73"/>
      <c r="B55" s="73"/>
      <c r="C55" s="74"/>
      <c r="D55" s="75"/>
      <c r="E55" s="76"/>
      <c r="F55" s="77"/>
      <c r="G55" s="78"/>
      <c r="H55" s="78"/>
      <c r="I55" s="78"/>
      <c r="J55" s="73"/>
      <c r="K55" s="73"/>
      <c r="L55" s="73"/>
      <c r="M55" s="79"/>
      <c r="N55" s="73"/>
      <c r="O55" s="73"/>
      <c r="P55" s="80"/>
      <c r="Q55" s="73"/>
      <c r="R55" s="73"/>
    </row>
    <row r="56" spans="1:18" ht="15.75" customHeight="1" x14ac:dyDescent="0.2">
      <c r="A56" s="34">
        <v>17086</v>
      </c>
      <c r="B56" s="35" t="str">
        <f t="shared" ref="B56:B57" si="46">CONCATENATE(C56,D56,E56)</f>
        <v>19461011</v>
      </c>
      <c r="C56" s="36" t="str">
        <f t="shared" ref="C56:C57" si="47">TEXT(YEAR($A56), "0000")</f>
        <v>1946</v>
      </c>
      <c r="D56" s="37" t="str">
        <f t="shared" ref="D56:D57" si="48">TEXT(MONTH($A56),"00")</f>
        <v>10</v>
      </c>
      <c r="E56" s="38" t="str">
        <f t="shared" ref="E56:E57" si="49">TEXT(DAY(A56),"00")</f>
        <v>11</v>
      </c>
      <c r="F56" s="39"/>
      <c r="G56" s="40">
        <f>IF(C57=C56, 1,
         IF(AND(LEFT(C57,2)=LEFT(C56,2),
                     LEFT(RIGHT(C56,2),1)= RIGHT(C57,1),
                     LEFT(RIGHT(C57,2),1)= RIGHT(C56,1)      ), 0.6, 0))</f>
        <v>0.6</v>
      </c>
      <c r="H56" s="40">
        <f t="shared" ref="H56:I56" si="50">IF(D57=D56, 1,
         IF(AND(LEFT(D57,1)=RIGHT(D56,1),  LEFT(D56,1)= RIGHT(D57,1) ), 0.6, 0))</f>
        <v>1</v>
      </c>
      <c r="I56" s="40">
        <f t="shared" si="50"/>
        <v>1</v>
      </c>
      <c r="J56" s="35"/>
      <c r="K56" s="41">
        <f>(G56*$H$2+H56*$H$3+I56*$H$4)/SUM($H$2:$H$4)</f>
        <v>0.83333333333333337</v>
      </c>
      <c r="L56" s="35" t="s">
        <v>21</v>
      </c>
      <c r="M56" s="42"/>
      <c r="N56" s="35"/>
      <c r="O56" s="35"/>
      <c r="P56" s="43"/>
      <c r="Q56" s="35"/>
      <c r="R56" s="44"/>
    </row>
    <row r="57" spans="1:18" ht="15.75" customHeight="1" x14ac:dyDescent="0.2">
      <c r="A57" s="81">
        <v>23661</v>
      </c>
      <c r="B57" s="46" t="str">
        <f t="shared" si="46"/>
        <v>19641011</v>
      </c>
      <c r="C57" s="47" t="str">
        <f t="shared" si="47"/>
        <v>1964</v>
      </c>
      <c r="D57" s="48" t="str">
        <f t="shared" si="48"/>
        <v>10</v>
      </c>
      <c r="E57" s="49" t="str">
        <f t="shared" si="49"/>
        <v>11</v>
      </c>
      <c r="F57" s="50"/>
      <c r="G57" s="51"/>
      <c r="H57" s="52"/>
      <c r="I57" s="51"/>
      <c r="J57" s="46"/>
      <c r="K57" s="53">
        <f>IF(AND(C56=C57,D56=E57,D57=E56),$H$5,0)</f>
        <v>0</v>
      </c>
      <c r="L57" s="46" t="s">
        <v>22</v>
      </c>
      <c r="M57" s="54">
        <f>MAX(K56:K57)</f>
        <v>0.83333333333333337</v>
      </c>
      <c r="N57" s="46" t="s">
        <v>23</v>
      </c>
      <c r="O57" s="55" t="s">
        <v>24</v>
      </c>
      <c r="P57" s="56"/>
      <c r="Q57" s="53">
        <f>AVERAGE(M57:M58)</f>
        <v>0.71666666666666667</v>
      </c>
      <c r="R57" s="57"/>
    </row>
    <row r="58" spans="1:18" ht="15.75" customHeight="1" x14ac:dyDescent="0.2">
      <c r="A58" s="58" t="s">
        <v>37</v>
      </c>
      <c r="B58" s="46"/>
      <c r="C58" s="59"/>
      <c r="D58" s="60"/>
      <c r="E58" s="61"/>
      <c r="F58" s="50"/>
      <c r="G58" s="52"/>
      <c r="H58" s="52"/>
      <c r="I58" s="52"/>
      <c r="J58" s="46"/>
      <c r="K58" s="46"/>
      <c r="L58" s="46"/>
      <c r="M58" s="54">
        <f t="array" ref="M58">MAX(1-Levenshtein_Distance(B56,B57)*$H$6,0)</f>
        <v>0.6</v>
      </c>
      <c r="N58" s="46" t="s">
        <v>26</v>
      </c>
      <c r="O58" s="55" t="s">
        <v>31</v>
      </c>
      <c r="P58" s="56"/>
      <c r="Q58" s="46"/>
      <c r="R58" s="57"/>
    </row>
    <row r="59" spans="1:18" ht="15.75" customHeight="1" x14ac:dyDescent="0.2">
      <c r="A59" s="62"/>
      <c r="B59" s="63"/>
      <c r="C59" s="64"/>
      <c r="D59" s="65"/>
      <c r="E59" s="66"/>
      <c r="F59" s="67"/>
      <c r="G59" s="68">
        <f t="array" ref="G59">1-Levenshtein_Distance(C56,C57)*$H$7</f>
        <v>0</v>
      </c>
      <c r="H59" s="68">
        <f t="array" ref="H59">1-Levenshtein_Distance(D56,D57)*$H$7</f>
        <v>1</v>
      </c>
      <c r="I59" s="68">
        <f t="array" ref="I59">1-Levenshtein_Distance(E56,E57)*$H$7</f>
        <v>1</v>
      </c>
      <c r="J59" s="63"/>
      <c r="K59" s="63"/>
      <c r="L59" s="63"/>
      <c r="M59" s="69">
        <f>MAX(1- ((1-G59)*$I$2 + (1-H59)*$I$3 + (1-I59)*$I$4), 0)</f>
        <v>0.58333333333333326</v>
      </c>
      <c r="N59" s="63" t="s">
        <v>27</v>
      </c>
      <c r="O59" s="70" t="s">
        <v>31</v>
      </c>
      <c r="P59" s="71"/>
      <c r="Q59" s="63"/>
      <c r="R59" s="72"/>
    </row>
    <row r="60" spans="1:18" ht="15.75" customHeight="1" x14ac:dyDescent="0.2">
      <c r="A60" s="73"/>
      <c r="B60" s="73"/>
      <c r="C60" s="74"/>
      <c r="D60" s="75"/>
      <c r="E60" s="76"/>
      <c r="F60" s="77"/>
      <c r="G60" s="78"/>
      <c r="H60" s="78"/>
      <c r="I60" s="78"/>
      <c r="J60" s="73"/>
      <c r="K60" s="73"/>
      <c r="L60" s="73"/>
      <c r="M60" s="79"/>
      <c r="N60" s="73"/>
      <c r="O60" s="73"/>
      <c r="P60" s="80"/>
      <c r="Q60" s="73"/>
      <c r="R60" s="73"/>
    </row>
    <row r="61" spans="1:18" ht="15.75" customHeight="1" x14ac:dyDescent="0.2">
      <c r="A61" s="34">
        <v>35839</v>
      </c>
      <c r="B61" s="35" t="str">
        <f t="shared" ref="B61:B62" si="51">CONCATENATE(C61,D61,E61)</f>
        <v>19980213</v>
      </c>
      <c r="C61" s="36" t="str">
        <f t="shared" ref="C61:C62" si="52">TEXT(YEAR($A61), "0000")</f>
        <v>1998</v>
      </c>
      <c r="D61" s="37" t="str">
        <f t="shared" ref="D61:D62" si="53">TEXT(MONTH($A61),"00")</f>
        <v>02</v>
      </c>
      <c r="E61" s="38" t="str">
        <f t="shared" ref="E61:E62" si="54">TEXT(DAY(A61),"00")</f>
        <v>13</v>
      </c>
      <c r="F61" s="39"/>
      <c r="G61" s="40">
        <f>IF(C62=C61, 1,
         IF(AND(LEFT(C62,2)=LEFT(C61,2),
                     LEFT(RIGHT(C61,2),1)= RIGHT(C62,1),
                     LEFT(RIGHT(C62,2),1)= RIGHT(C61,1)      ), 0.6, 0))</f>
        <v>0</v>
      </c>
      <c r="H61" s="40">
        <f t="shared" ref="H61:I61" si="55">IF(D62=D61, 1,
         IF(AND(LEFT(D62,1)=RIGHT(D61,1),  LEFT(D61,1)= RIGHT(D62,1) ), 0.6, 0))</f>
        <v>0</v>
      </c>
      <c r="I61" s="40">
        <f t="shared" si="55"/>
        <v>1</v>
      </c>
      <c r="J61" s="35"/>
      <c r="K61" s="41">
        <f>(G61*$H$2+H61*$H$3+I61*$H$4)/SUM($H$2:$H$4)</f>
        <v>0.25</v>
      </c>
      <c r="L61" s="35" t="s">
        <v>21</v>
      </c>
      <c r="M61" s="42"/>
      <c r="N61" s="35"/>
      <c r="O61" s="35"/>
      <c r="P61" s="43"/>
      <c r="Q61" s="35"/>
      <c r="R61" s="44"/>
    </row>
    <row r="62" spans="1:18" ht="15.75" customHeight="1" x14ac:dyDescent="0.2">
      <c r="A62" s="81">
        <v>33829</v>
      </c>
      <c r="B62" s="46" t="str">
        <f t="shared" si="51"/>
        <v>19920813</v>
      </c>
      <c r="C62" s="47" t="str">
        <f t="shared" si="52"/>
        <v>1992</v>
      </c>
      <c r="D62" s="48" t="str">
        <f t="shared" si="53"/>
        <v>08</v>
      </c>
      <c r="E62" s="49" t="str">
        <f t="shared" si="54"/>
        <v>13</v>
      </c>
      <c r="F62" s="50"/>
      <c r="G62" s="51"/>
      <c r="H62" s="52"/>
      <c r="I62" s="51"/>
      <c r="J62" s="46"/>
      <c r="K62" s="53">
        <f>IF(AND(C61=C62,D61=E62,D62=E61),$H$5,0)</f>
        <v>0</v>
      </c>
      <c r="L62" s="46" t="s">
        <v>22</v>
      </c>
      <c r="M62" s="54">
        <f>MAX(K61:K62)</f>
        <v>0.25</v>
      </c>
      <c r="N62" s="46" t="s">
        <v>23</v>
      </c>
      <c r="O62" s="55" t="s">
        <v>24</v>
      </c>
      <c r="P62" s="56"/>
      <c r="Q62" s="53">
        <f>AVERAGE(M62:M63)</f>
        <v>0.42499999999999999</v>
      </c>
      <c r="R62" s="57"/>
    </row>
    <row r="63" spans="1:18" ht="15.75" customHeight="1" x14ac:dyDescent="0.2">
      <c r="A63" s="58" t="s">
        <v>35</v>
      </c>
      <c r="B63" s="46"/>
      <c r="C63" s="59"/>
      <c r="D63" s="60"/>
      <c r="E63" s="61"/>
      <c r="F63" s="50"/>
      <c r="G63" s="52"/>
      <c r="H63" s="52"/>
      <c r="I63" s="52"/>
      <c r="J63" s="46"/>
      <c r="K63" s="46"/>
      <c r="L63" s="46"/>
      <c r="M63" s="54">
        <f t="array" ref="M63">MAX(1-Levenshtein_Distance(B61,B62)*$H$6,0)</f>
        <v>0.6</v>
      </c>
      <c r="N63" s="46" t="s">
        <v>26</v>
      </c>
      <c r="O63" s="55" t="s">
        <v>24</v>
      </c>
      <c r="P63" s="56"/>
      <c r="Q63" s="46"/>
      <c r="R63" s="57"/>
    </row>
    <row r="64" spans="1:18" ht="15.75" customHeight="1" x14ac:dyDescent="0.2">
      <c r="A64" s="62"/>
      <c r="B64" s="63"/>
      <c r="C64" s="64"/>
      <c r="D64" s="65"/>
      <c r="E64" s="66"/>
      <c r="F64" s="83"/>
      <c r="G64" s="68">
        <f t="array" ref="G64">1-Levenshtein_Distance(C61,C62)*$H$7</f>
        <v>0.5</v>
      </c>
      <c r="H64" s="68">
        <f t="array" ref="H64">1-Levenshtein_Distance(D61,D62)*$H$7</f>
        <v>0.5</v>
      </c>
      <c r="I64" s="68">
        <f t="array" ref="I64">1-Levenshtein_Distance(E61,E62)*$H$7</f>
        <v>1</v>
      </c>
      <c r="J64" s="63"/>
      <c r="K64" s="63"/>
      <c r="L64" s="63"/>
      <c r="M64" s="69">
        <f>MAX(1- ((1-G64)*$I$2 + (1-H64)*$I$3 + (1-I64)*$I$4), 0)</f>
        <v>0.625</v>
      </c>
      <c r="N64" s="63" t="s">
        <v>27</v>
      </c>
      <c r="O64" s="70" t="s">
        <v>24</v>
      </c>
      <c r="P64" s="71"/>
      <c r="Q64" s="63"/>
      <c r="R64" s="72"/>
    </row>
    <row r="65" spans="1:18" ht="15.75" customHeight="1" x14ac:dyDescent="0.2">
      <c r="A65" s="73"/>
      <c r="B65" s="73"/>
      <c r="C65" s="74"/>
      <c r="D65" s="75"/>
      <c r="E65" s="76"/>
      <c r="F65" s="77"/>
      <c r="G65" s="78"/>
      <c r="H65" s="78"/>
      <c r="I65" s="78"/>
      <c r="J65" s="73"/>
      <c r="K65" s="73"/>
      <c r="L65" s="73"/>
      <c r="M65" s="79"/>
      <c r="N65" s="73"/>
      <c r="O65" s="73"/>
      <c r="P65" s="80"/>
      <c r="Q65" s="73"/>
      <c r="R65" s="73"/>
    </row>
    <row r="66" spans="1:18" ht="15.75" customHeight="1" x14ac:dyDescent="0.2">
      <c r="A66" s="34">
        <v>33910</v>
      </c>
      <c r="B66" s="35" t="str">
        <f t="shared" ref="B66:B67" si="56">CONCATENATE(C66,D66,E66)</f>
        <v>19921102</v>
      </c>
      <c r="C66" s="36" t="str">
        <f t="shared" ref="C66:C67" si="57">TEXT(YEAR($A66), "0000")</f>
        <v>1992</v>
      </c>
      <c r="D66" s="37" t="str">
        <f t="shared" ref="D66:D67" si="58">TEXT(MONTH($A66),"00")</f>
        <v>11</v>
      </c>
      <c r="E66" s="38" t="str">
        <f t="shared" ref="E66:E67" si="59">TEXT(DAY(A66),"00")</f>
        <v>02</v>
      </c>
      <c r="F66" s="39"/>
      <c r="G66" s="40">
        <f>IF(C67=C66, 1,
         IF(AND(LEFT(C67,2)=LEFT(C66,2),
                     LEFT(RIGHT(C66,2),1)= RIGHT(C67,1),
                     LEFT(RIGHT(C67,2),1)= RIGHT(C66,1)      ), 0.6, 0))</f>
        <v>1</v>
      </c>
      <c r="H66" s="40">
        <f t="shared" ref="H66:I66" si="60">IF(D67=D66, 1,
         IF(AND(LEFT(D67,1)=RIGHT(D66,1),  LEFT(D66,1)= RIGHT(D67,1) ), 0.6, 0))</f>
        <v>1</v>
      </c>
      <c r="I66" s="40">
        <f t="shared" si="60"/>
        <v>0.6</v>
      </c>
      <c r="J66" s="35"/>
      <c r="K66" s="41">
        <f>(G66*$H$2+H66*$H$3+I66*$H$4)/SUM($H$2:$H$4)</f>
        <v>0.9</v>
      </c>
      <c r="L66" s="35" t="s">
        <v>21</v>
      </c>
      <c r="M66" s="42"/>
      <c r="N66" s="35"/>
      <c r="O66" s="35"/>
      <c r="P66" s="43"/>
      <c r="Q66" s="35"/>
      <c r="R66" s="44"/>
    </row>
    <row r="67" spans="1:18" ht="15.75" customHeight="1" x14ac:dyDescent="0.2">
      <c r="A67" s="81">
        <v>33928</v>
      </c>
      <c r="B67" s="46" t="str">
        <f t="shared" si="56"/>
        <v>19921120</v>
      </c>
      <c r="C67" s="47" t="str">
        <f t="shared" si="57"/>
        <v>1992</v>
      </c>
      <c r="D67" s="48" t="str">
        <f t="shared" si="58"/>
        <v>11</v>
      </c>
      <c r="E67" s="49" t="str">
        <f t="shared" si="59"/>
        <v>20</v>
      </c>
      <c r="F67" s="50"/>
      <c r="G67" s="51"/>
      <c r="H67" s="52"/>
      <c r="I67" s="51"/>
      <c r="J67" s="46"/>
      <c r="K67" s="53">
        <f>IF(AND(C66=C67,D66=E67,D67=E66),$H$5,0)</f>
        <v>0</v>
      </c>
      <c r="L67" s="46" t="s">
        <v>22</v>
      </c>
      <c r="M67" s="54">
        <f>MAX(K66:K67)</f>
        <v>0.9</v>
      </c>
      <c r="N67" s="46" t="s">
        <v>23</v>
      </c>
      <c r="O67" s="55" t="s">
        <v>24</v>
      </c>
      <c r="P67" s="56"/>
      <c r="Q67" s="53">
        <f>AVERAGE(M67:M68)</f>
        <v>0.75</v>
      </c>
      <c r="R67" s="57"/>
    </row>
    <row r="68" spans="1:18" ht="15.75" customHeight="1" x14ac:dyDescent="0.2">
      <c r="A68" s="58" t="s">
        <v>38</v>
      </c>
      <c r="B68" s="46"/>
      <c r="C68" s="59"/>
      <c r="D68" s="60"/>
      <c r="E68" s="61"/>
      <c r="F68" s="50"/>
      <c r="G68" s="52"/>
      <c r="H68" s="52"/>
      <c r="I68" s="52"/>
      <c r="J68" s="46"/>
      <c r="K68" s="46"/>
      <c r="L68" s="46"/>
      <c r="M68" s="54">
        <f t="array" ref="M68">MAX(1-Levenshtein_Distance(B66,B67)*$H$6,0)</f>
        <v>0.6</v>
      </c>
      <c r="N68" s="46" t="s">
        <v>26</v>
      </c>
      <c r="O68" s="55" t="s">
        <v>31</v>
      </c>
      <c r="P68" s="56"/>
      <c r="Q68" s="46"/>
      <c r="R68" s="57"/>
    </row>
    <row r="69" spans="1:18" ht="15.75" customHeight="1" x14ac:dyDescent="0.2">
      <c r="A69" s="62"/>
      <c r="B69" s="63"/>
      <c r="C69" s="64"/>
      <c r="D69" s="65"/>
      <c r="E69" s="66"/>
      <c r="F69" s="83"/>
      <c r="G69" s="68">
        <f t="array" ref="G69">1-Levenshtein_Distance(C66,C67)*$H$7</f>
        <v>1</v>
      </c>
      <c r="H69" s="68">
        <f t="array" ref="H69">1-Levenshtein_Distance(D66,D67)*$H$7</f>
        <v>1</v>
      </c>
      <c r="I69" s="68">
        <f t="array" ref="I69">1-Levenshtein_Distance(E66,E67)*$H$7</f>
        <v>0</v>
      </c>
      <c r="J69" s="63"/>
      <c r="K69" s="63"/>
      <c r="L69" s="63"/>
      <c r="M69" s="69">
        <f>MAX(1- ((1-G69)*$I$2 + (1-H69)*$I$3 + (1-I69)*$I$4), 0)</f>
        <v>0.75</v>
      </c>
      <c r="N69" s="63" t="s">
        <v>27</v>
      </c>
      <c r="O69" s="70" t="s">
        <v>31</v>
      </c>
      <c r="P69" s="71"/>
      <c r="Q69" s="63"/>
      <c r="R69" s="72"/>
    </row>
    <row r="70" spans="1:18" ht="15.75" customHeight="1" x14ac:dyDescent="0.2">
      <c r="A70" s="73"/>
      <c r="B70" s="73"/>
      <c r="C70" s="74"/>
      <c r="D70" s="75"/>
      <c r="E70" s="76"/>
      <c r="F70" s="77"/>
      <c r="G70" s="78"/>
      <c r="H70" s="78"/>
      <c r="I70" s="78"/>
      <c r="J70" s="73"/>
      <c r="K70" s="73"/>
      <c r="L70" s="73"/>
      <c r="M70" s="79"/>
      <c r="N70" s="73"/>
      <c r="O70" s="73"/>
      <c r="P70" s="80"/>
      <c r="Q70" s="73"/>
      <c r="R70" s="73"/>
    </row>
    <row r="71" spans="1:18" ht="15.75" customHeight="1" x14ac:dyDescent="0.2">
      <c r="A71" s="34">
        <v>33891</v>
      </c>
      <c r="B71" s="35" t="str">
        <f t="shared" ref="B71:B72" si="61">CONCATENATE(C71,D71,E71)</f>
        <v>19921014</v>
      </c>
      <c r="C71" s="36" t="str">
        <f t="shared" ref="C71:C72" si="62">TEXT(YEAR($A71), "0000")</f>
        <v>1992</v>
      </c>
      <c r="D71" s="37" t="str">
        <f t="shared" ref="D71:D72" si="63">TEXT(MONTH($A71),"00")</f>
        <v>10</v>
      </c>
      <c r="E71" s="38" t="str">
        <f t="shared" ref="E71:E72" si="64">TEXT(DAY(A71),"00")</f>
        <v>14</v>
      </c>
      <c r="F71" s="39"/>
      <c r="G71" s="40">
        <f>IF(C72=C71, 1,
         IF(AND(LEFT(C72,2)=LEFT(C71,2),
                     LEFT(RIGHT(C71,2),1)= RIGHT(C72,1),
                     LEFT(RIGHT(C72,2),1)= RIGHT(C71,1)      ), 0.6, 0))</f>
        <v>1</v>
      </c>
      <c r="H71" s="40">
        <f t="shared" ref="H71:I71" si="65">IF(D72=D71, 1,
         IF(AND(LEFT(D72,1)=RIGHT(D71,1),  LEFT(D71,1)= RIGHT(D72,1) ), 0.6, 0))</f>
        <v>0.6</v>
      </c>
      <c r="I71" s="40">
        <f t="shared" si="65"/>
        <v>1</v>
      </c>
      <c r="J71" s="35"/>
      <c r="K71" s="41">
        <f>(G71*$H$2+H71*$H$3+I71*$H$4)/SUM($H$2:$H$4)</f>
        <v>0.8666666666666667</v>
      </c>
      <c r="L71" s="35" t="s">
        <v>21</v>
      </c>
      <c r="M71" s="42"/>
      <c r="N71" s="35"/>
      <c r="O71" s="35"/>
      <c r="P71" s="43"/>
      <c r="Q71" s="35"/>
      <c r="R71" s="44"/>
    </row>
    <row r="72" spans="1:18" ht="15.75" customHeight="1" x14ac:dyDescent="0.2">
      <c r="A72" s="81">
        <v>33617</v>
      </c>
      <c r="B72" s="46" t="str">
        <f t="shared" si="61"/>
        <v>19920114</v>
      </c>
      <c r="C72" s="47" t="str">
        <f t="shared" si="62"/>
        <v>1992</v>
      </c>
      <c r="D72" s="48" t="str">
        <f t="shared" si="63"/>
        <v>01</v>
      </c>
      <c r="E72" s="49" t="str">
        <f t="shared" si="64"/>
        <v>14</v>
      </c>
      <c r="F72" s="50"/>
      <c r="G72" s="51"/>
      <c r="H72" s="52"/>
      <c r="I72" s="51"/>
      <c r="J72" s="46"/>
      <c r="K72" s="53">
        <f>IF(AND(C71=C72,D71=E72,D72=E71),$H$5,0)</f>
        <v>0</v>
      </c>
      <c r="L72" s="46" t="s">
        <v>22</v>
      </c>
      <c r="M72" s="54">
        <f>MAX(K71:K72)</f>
        <v>0.8666666666666667</v>
      </c>
      <c r="N72" s="46" t="s">
        <v>23</v>
      </c>
      <c r="O72" s="55" t="s">
        <v>24</v>
      </c>
      <c r="P72" s="56"/>
      <c r="Q72" s="53">
        <f>AVERAGE(M72:M73)</f>
        <v>0.73333333333333339</v>
      </c>
      <c r="R72" s="57"/>
    </row>
    <row r="73" spans="1:18" ht="15.75" customHeight="1" x14ac:dyDescent="0.2">
      <c r="A73" s="58" t="s">
        <v>38</v>
      </c>
      <c r="B73" s="46"/>
      <c r="C73" s="59"/>
      <c r="D73" s="60"/>
      <c r="E73" s="61"/>
      <c r="F73" s="50"/>
      <c r="G73" s="52"/>
      <c r="H73" s="52"/>
      <c r="I73" s="52"/>
      <c r="J73" s="46"/>
      <c r="K73" s="46"/>
      <c r="L73" s="46"/>
      <c r="M73" s="54">
        <f t="array" ref="M73">MAX(1-Levenshtein_Distance(B71,B72)*$H$6,0)</f>
        <v>0.6</v>
      </c>
      <c r="N73" s="46" t="s">
        <v>26</v>
      </c>
      <c r="O73" s="55" t="s">
        <v>31</v>
      </c>
      <c r="P73" s="56"/>
      <c r="Q73" s="46"/>
      <c r="R73" s="57"/>
    </row>
    <row r="74" spans="1:18" ht="15.75" customHeight="1" x14ac:dyDescent="0.2">
      <c r="A74" s="62"/>
      <c r="B74" s="63"/>
      <c r="C74" s="64"/>
      <c r="D74" s="65"/>
      <c r="E74" s="66"/>
      <c r="F74" s="83"/>
      <c r="G74" s="68">
        <f t="array" ref="G74">1-Levenshtein_Distance(C71,C72)*$H$7</f>
        <v>1</v>
      </c>
      <c r="H74" s="68">
        <f t="array" ref="H74">1-Levenshtein_Distance(D71,D72)*$H$7</f>
        <v>0</v>
      </c>
      <c r="I74" s="68">
        <f t="array" ref="I74">1-Levenshtein_Distance(E71,E72)*$H$7</f>
        <v>1</v>
      </c>
      <c r="J74" s="63"/>
      <c r="K74" s="63"/>
      <c r="L74" s="63"/>
      <c r="M74" s="69">
        <f>MAX(1- ((1-G74)*$I$2 + (1-H74)*$I$3 + (1-I74)*$I$4), 0)</f>
        <v>0.66666666666666674</v>
      </c>
      <c r="N74" s="63" t="s">
        <v>27</v>
      </c>
      <c r="O74" s="70" t="s">
        <v>31</v>
      </c>
      <c r="P74" s="71"/>
      <c r="Q74" s="63"/>
      <c r="R74" s="72"/>
    </row>
    <row r="75" spans="1:18" ht="15.75" customHeight="1" x14ac:dyDescent="0.2">
      <c r="A75" s="73"/>
      <c r="B75" s="73"/>
      <c r="C75" s="74"/>
      <c r="D75" s="75"/>
      <c r="E75" s="76"/>
      <c r="F75" s="77"/>
      <c r="G75" s="78"/>
      <c r="H75" s="78"/>
      <c r="I75" s="78"/>
      <c r="J75" s="73"/>
      <c r="K75" s="73"/>
      <c r="L75" s="73"/>
      <c r="M75" s="79"/>
      <c r="N75" s="73"/>
      <c r="O75" s="73"/>
      <c r="P75" s="80"/>
      <c r="Q75" s="73"/>
      <c r="R75" s="73"/>
    </row>
    <row r="76" spans="1:18" ht="15.75" customHeight="1" x14ac:dyDescent="0.2">
      <c r="A76" s="34">
        <v>28777</v>
      </c>
      <c r="B76" s="35" t="str">
        <f t="shared" ref="B76:B77" si="66">CONCATENATE(C76,D76,E76)</f>
        <v>19781014</v>
      </c>
      <c r="C76" s="36" t="str">
        <f t="shared" ref="C76:C77" si="67">TEXT(YEAR($A76), "0000")</f>
        <v>1978</v>
      </c>
      <c r="D76" s="37" t="str">
        <f t="shared" ref="D76:D77" si="68">TEXT(MONTH($A76),"00")</f>
        <v>10</v>
      </c>
      <c r="E76" s="38" t="str">
        <f t="shared" ref="E76:E77" si="69">TEXT(DAY(A76),"00")</f>
        <v>14</v>
      </c>
      <c r="F76" s="39"/>
      <c r="G76" s="40">
        <f>IF(C77=C76, 1,
         IF(AND(LEFT(C77,2)=LEFT(C76,2),
                     LEFT(RIGHT(C76,2),1)= RIGHT(C77,1),
                     LEFT(RIGHT(C77,2),1)= RIGHT(C76,1)      ), 0.6, 0))</f>
        <v>0.6</v>
      </c>
      <c r="H76" s="40">
        <f t="shared" ref="H76:I76" si="70">IF(D77=D76, 1,
         IF(AND(LEFT(D77,1)=RIGHT(D76,1),  LEFT(D76,1)= RIGHT(D77,1) ), 0.6, 0))</f>
        <v>0.6</v>
      </c>
      <c r="I76" s="40">
        <f t="shared" si="70"/>
        <v>1</v>
      </c>
      <c r="J76" s="35"/>
      <c r="K76" s="41">
        <f>(G76*$H$2+H76*$H$3+I76*$H$4)/SUM($H$2:$H$4)</f>
        <v>0.70000000000000007</v>
      </c>
      <c r="L76" s="35" t="s">
        <v>21</v>
      </c>
      <c r="M76" s="42"/>
      <c r="N76" s="35"/>
      <c r="O76" s="35"/>
      <c r="P76" s="43"/>
      <c r="Q76" s="35"/>
      <c r="R76" s="44"/>
    </row>
    <row r="77" spans="1:18" ht="15.75" customHeight="1" x14ac:dyDescent="0.2">
      <c r="A77" s="81">
        <v>31791</v>
      </c>
      <c r="B77" s="46" t="str">
        <f t="shared" si="66"/>
        <v>19870114</v>
      </c>
      <c r="C77" s="47" t="str">
        <f t="shared" si="67"/>
        <v>1987</v>
      </c>
      <c r="D77" s="48" t="str">
        <f t="shared" si="68"/>
        <v>01</v>
      </c>
      <c r="E77" s="49" t="str">
        <f t="shared" si="69"/>
        <v>14</v>
      </c>
      <c r="F77" s="50"/>
      <c r="G77" s="51"/>
      <c r="H77" s="52"/>
      <c r="I77" s="51"/>
      <c r="J77" s="46"/>
      <c r="K77" s="53">
        <f>IF(AND(C76=C77,D76=E77,D77=E76),$H$5,0)</f>
        <v>0</v>
      </c>
      <c r="L77" s="46" t="s">
        <v>22</v>
      </c>
      <c r="M77" s="54">
        <f>MAX(K76:K77)</f>
        <v>0.70000000000000007</v>
      </c>
      <c r="N77" s="46" t="s">
        <v>23</v>
      </c>
      <c r="O77" s="55" t="s">
        <v>24</v>
      </c>
      <c r="P77" s="56"/>
      <c r="Q77" s="53">
        <f>AVERAGE(M77:M78)</f>
        <v>0.55000000000000004</v>
      </c>
      <c r="R77" s="57"/>
    </row>
    <row r="78" spans="1:18" ht="15.75" customHeight="1" x14ac:dyDescent="0.2">
      <c r="A78" s="58" t="s">
        <v>39</v>
      </c>
      <c r="B78" s="46"/>
      <c r="C78" s="59"/>
      <c r="D78" s="60"/>
      <c r="E78" s="61"/>
      <c r="F78" s="50"/>
      <c r="G78" s="52"/>
      <c r="H78" s="52"/>
      <c r="I78" s="52"/>
      <c r="J78" s="46"/>
      <c r="K78" s="46"/>
      <c r="L78" s="46"/>
      <c r="M78" s="54">
        <f t="array" ref="M78">MAX(1-Levenshtein_Distance(B76,B77)*$H$6,0)</f>
        <v>0.39999999999999991</v>
      </c>
      <c r="N78" s="46" t="s">
        <v>26</v>
      </c>
      <c r="O78" s="55" t="s">
        <v>24</v>
      </c>
      <c r="P78" s="56"/>
      <c r="Q78" s="46"/>
      <c r="R78" s="57"/>
    </row>
    <row r="79" spans="1:18" ht="15.75" customHeight="1" x14ac:dyDescent="0.2">
      <c r="A79" s="62"/>
      <c r="B79" s="63"/>
      <c r="C79" s="64"/>
      <c r="D79" s="65"/>
      <c r="E79" s="66"/>
      <c r="F79" s="83"/>
      <c r="G79" s="68">
        <f t="array" ref="G79">1-Levenshtein_Distance(C76,C77)*$H$7</f>
        <v>0</v>
      </c>
      <c r="H79" s="68">
        <f t="array" ref="H79">1-Levenshtein_Distance(D76,D77)*$H$7</f>
        <v>0</v>
      </c>
      <c r="I79" s="68">
        <f t="array" ref="I79">1-Levenshtein_Distance(E76,E77)*$H$7</f>
        <v>1</v>
      </c>
      <c r="J79" s="63"/>
      <c r="K79" s="63"/>
      <c r="L79" s="63"/>
      <c r="M79" s="69">
        <f>MAX(1- ((1-G79)*$I$2 + (1-H79)*$I$3 + (1-I79)*$I$4), 0)</f>
        <v>0.25</v>
      </c>
      <c r="N79" s="63" t="s">
        <v>27</v>
      </c>
      <c r="O79" s="70" t="s">
        <v>24</v>
      </c>
      <c r="P79" s="71"/>
      <c r="Q79" s="63"/>
      <c r="R79" s="72"/>
    </row>
    <row r="80" spans="1:18" ht="15.75" customHeight="1" x14ac:dyDescent="0.2">
      <c r="A80" s="73"/>
      <c r="B80" s="73"/>
      <c r="C80" s="74"/>
      <c r="D80" s="75"/>
      <c r="E80" s="76"/>
      <c r="F80" s="77"/>
      <c r="G80" s="78"/>
      <c r="H80" s="78"/>
      <c r="I80" s="78"/>
      <c r="J80" s="73"/>
      <c r="K80" s="73"/>
      <c r="L80" s="73"/>
      <c r="M80" s="79"/>
      <c r="N80" s="73"/>
      <c r="O80" s="73"/>
      <c r="P80" s="80"/>
      <c r="Q80" s="73"/>
      <c r="R80" s="73"/>
    </row>
    <row r="81" spans="1:18" ht="15.75" customHeight="1" x14ac:dyDescent="0.2">
      <c r="A81" s="34">
        <v>32063</v>
      </c>
      <c r="B81" s="35" t="str">
        <f t="shared" ref="B81:B82" si="71">CONCATENATE(C81,D81,E81)</f>
        <v>19871013</v>
      </c>
      <c r="C81" s="36" t="str">
        <f t="shared" ref="C81:C82" si="72">TEXT(YEAR($A81), "0000")</f>
        <v>1987</v>
      </c>
      <c r="D81" s="37" t="str">
        <f t="shared" ref="D81:D82" si="73">TEXT(MONTH($A81),"00")</f>
        <v>10</v>
      </c>
      <c r="E81" s="38" t="str">
        <f t="shared" ref="E81:E82" si="74">TEXT(DAY(A81),"00")</f>
        <v>13</v>
      </c>
      <c r="F81" s="39"/>
      <c r="G81" s="40">
        <f>IF(C82=C81, 1,
         IF(AND(LEFT(C82,2)=LEFT(C81,2),
                     LEFT(RIGHT(C81,2),1)= RIGHT(C82,1),
                     LEFT(RIGHT(C82,2),1)= RIGHT(C81,1)      ), 0.6, 0))</f>
        <v>1</v>
      </c>
      <c r="H81" s="40">
        <f t="shared" ref="H81:I81" si="75">IF(D82=D81, 1,
         IF(AND(LEFT(D82,1)=RIGHT(D81,1),  LEFT(D81,1)= RIGHT(D82,1) ), 0.6, 0))</f>
        <v>0.6</v>
      </c>
      <c r="I81" s="40">
        <f t="shared" si="75"/>
        <v>0.6</v>
      </c>
      <c r="J81" s="35"/>
      <c r="K81" s="41">
        <f>(G81*$H$2+H81*$H$3+I81*$H$4)/SUM($H$2:$H$4)</f>
        <v>0.76666666666666661</v>
      </c>
      <c r="L81" s="35" t="s">
        <v>21</v>
      </c>
      <c r="M81" s="42"/>
      <c r="N81" s="35"/>
      <c r="O81" s="35"/>
      <c r="P81" s="43"/>
      <c r="Q81" s="35"/>
      <c r="R81" s="44"/>
    </row>
    <row r="82" spans="1:18" ht="15.75" customHeight="1" x14ac:dyDescent="0.2">
      <c r="A82" s="81">
        <v>31808</v>
      </c>
      <c r="B82" s="46" t="str">
        <f t="shared" si="71"/>
        <v>19870131</v>
      </c>
      <c r="C82" s="47" t="str">
        <f t="shared" si="72"/>
        <v>1987</v>
      </c>
      <c r="D82" s="48" t="str">
        <f t="shared" si="73"/>
        <v>01</v>
      </c>
      <c r="E82" s="49" t="str">
        <f t="shared" si="74"/>
        <v>31</v>
      </c>
      <c r="F82" s="50"/>
      <c r="G82" s="51"/>
      <c r="H82" s="52"/>
      <c r="I82" s="51"/>
      <c r="J82" s="46"/>
      <c r="K82" s="53">
        <f>IF(AND(C81=C82,D81=E82,D82=E81),$H$5,0)</f>
        <v>0</v>
      </c>
      <c r="L82" s="46" t="s">
        <v>22</v>
      </c>
      <c r="M82" s="54">
        <f>MAX(K81:K82)</f>
        <v>0.76666666666666661</v>
      </c>
      <c r="N82" s="46" t="s">
        <v>23</v>
      </c>
      <c r="O82" s="55" t="s">
        <v>24</v>
      </c>
      <c r="P82" s="56"/>
      <c r="Q82" s="53">
        <f>AVERAGE(M82:M83)</f>
        <v>0.68333333333333335</v>
      </c>
      <c r="R82" s="57"/>
    </row>
    <row r="83" spans="1:18" ht="15.75" customHeight="1" x14ac:dyDescent="0.2">
      <c r="A83" s="58" t="s">
        <v>39</v>
      </c>
      <c r="B83" s="46"/>
      <c r="C83" s="59"/>
      <c r="D83" s="60"/>
      <c r="E83" s="61"/>
      <c r="F83" s="50"/>
      <c r="G83" s="52"/>
      <c r="H83" s="52"/>
      <c r="I83" s="52"/>
      <c r="J83" s="46"/>
      <c r="K83" s="46"/>
      <c r="L83" s="46"/>
      <c r="M83" s="54">
        <f t="array" ref="M83">MAX(1-Levenshtein_Distance(B81,B82)*$H$6,0)</f>
        <v>0.6</v>
      </c>
      <c r="N83" s="46" t="s">
        <v>26</v>
      </c>
      <c r="O83" s="55" t="s">
        <v>24</v>
      </c>
      <c r="P83" s="56"/>
      <c r="Q83" s="46"/>
      <c r="R83" s="57"/>
    </row>
    <row r="84" spans="1:18" ht="15.75" customHeight="1" x14ac:dyDescent="0.2">
      <c r="A84" s="62"/>
      <c r="B84" s="63"/>
      <c r="C84" s="64"/>
      <c r="D84" s="65"/>
      <c r="E84" s="66"/>
      <c r="F84" s="83"/>
      <c r="G84" s="68">
        <f t="array" ref="G84">1-Levenshtein_Distance(C81,C82)*$H$7</f>
        <v>1</v>
      </c>
      <c r="H84" s="68">
        <f t="array" ref="H84">1-Levenshtein_Distance(D81,D82)*$H$7</f>
        <v>0</v>
      </c>
      <c r="I84" s="68">
        <f t="array" ref="I84">1-Levenshtein_Distance(E81,E82)*$H$7</f>
        <v>0</v>
      </c>
      <c r="J84" s="63"/>
      <c r="K84" s="63"/>
      <c r="L84" s="63"/>
      <c r="M84" s="69">
        <f>MAX(1- ((1-G84)*$I$2 + (1-H84)*$I$3 + (1-I84)*$I$4), 0)</f>
        <v>0.41666666666666674</v>
      </c>
      <c r="N84" s="63" t="s">
        <v>27</v>
      </c>
      <c r="O84" s="70" t="s">
        <v>24</v>
      </c>
      <c r="P84" s="71"/>
      <c r="Q84" s="63"/>
      <c r="R84" s="72"/>
    </row>
    <row r="85" spans="1:18" ht="15.75" customHeight="1" x14ac:dyDescent="0.2">
      <c r="C85" s="12"/>
      <c r="D85" s="13"/>
      <c r="E85" s="14"/>
      <c r="G85" s="16"/>
      <c r="H85" s="16"/>
      <c r="I85" s="16"/>
      <c r="M85" s="17"/>
      <c r="P85" s="8"/>
    </row>
    <row r="86" spans="1:18" ht="15.75" customHeight="1" x14ac:dyDescent="0.2">
      <c r="C86" s="12"/>
      <c r="D86" s="13"/>
      <c r="E86" s="14"/>
      <c r="G86" s="16"/>
      <c r="H86" s="16"/>
      <c r="I86" s="16"/>
      <c r="M86" s="17"/>
      <c r="P86" s="8"/>
    </row>
    <row r="87" spans="1:18" ht="15.75" customHeight="1" x14ac:dyDescent="0.2">
      <c r="C87" s="12"/>
      <c r="D87" s="13"/>
      <c r="E87" s="14"/>
      <c r="G87" s="16"/>
      <c r="H87" s="16"/>
      <c r="I87" s="16"/>
      <c r="M87" s="17"/>
      <c r="P87" s="8"/>
    </row>
    <row r="88" spans="1:18" ht="15.75" customHeight="1" x14ac:dyDescent="0.2">
      <c r="C88" s="12"/>
      <c r="D88" s="13"/>
      <c r="E88" s="14"/>
      <c r="G88" s="16"/>
      <c r="H88" s="16"/>
      <c r="I88" s="16"/>
      <c r="M88" s="17"/>
      <c r="P88" s="8"/>
    </row>
    <row r="89" spans="1:18" ht="15.75" customHeight="1" x14ac:dyDescent="0.2">
      <c r="C89" s="12"/>
      <c r="D89" s="13"/>
      <c r="E89" s="14"/>
      <c r="G89" s="16"/>
      <c r="H89" s="16"/>
      <c r="I89" s="16"/>
      <c r="M89" s="17"/>
      <c r="P89" s="8"/>
    </row>
    <row r="90" spans="1:18" ht="15.75" customHeight="1" x14ac:dyDescent="0.2">
      <c r="C90" s="12"/>
      <c r="D90" s="13"/>
      <c r="E90" s="14"/>
      <c r="G90" s="16"/>
      <c r="H90" s="16"/>
      <c r="I90" s="16"/>
      <c r="M90" s="17"/>
      <c r="P90" s="8"/>
    </row>
    <row r="91" spans="1:18" ht="15.75" customHeight="1" x14ac:dyDescent="0.2">
      <c r="C91" s="12"/>
      <c r="D91" s="13"/>
      <c r="E91" s="14"/>
      <c r="G91" s="16"/>
      <c r="H91" s="16"/>
      <c r="I91" s="16"/>
      <c r="M91" s="17"/>
      <c r="P91" s="8"/>
    </row>
    <row r="92" spans="1:18" ht="15.75" customHeight="1" x14ac:dyDescent="0.2">
      <c r="C92" s="12"/>
      <c r="D92" s="13"/>
      <c r="E92" s="14"/>
      <c r="G92" s="16"/>
      <c r="H92" s="16"/>
      <c r="I92" s="16"/>
      <c r="M92" s="17"/>
      <c r="P92" s="8"/>
    </row>
    <row r="93" spans="1:18" ht="15.75" customHeight="1" x14ac:dyDescent="0.2">
      <c r="C93" s="12"/>
      <c r="D93" s="13"/>
      <c r="E93" s="14"/>
      <c r="G93" s="16"/>
      <c r="H93" s="16"/>
      <c r="I93" s="16"/>
      <c r="M93" s="17"/>
      <c r="P93" s="8"/>
    </row>
    <row r="94" spans="1:18" ht="15.75" customHeight="1" x14ac:dyDescent="0.2">
      <c r="C94" s="12"/>
      <c r="D94" s="13"/>
      <c r="E94" s="14"/>
      <c r="G94" s="16"/>
      <c r="H94" s="16"/>
      <c r="I94" s="16"/>
      <c r="M94" s="17"/>
      <c r="P94" s="8"/>
    </row>
    <row r="95" spans="1:18" ht="15.75" customHeight="1" x14ac:dyDescent="0.2">
      <c r="C95" s="12"/>
      <c r="D95" s="13"/>
      <c r="E95" s="14"/>
      <c r="G95" s="16"/>
      <c r="H95" s="16"/>
      <c r="I95" s="16"/>
      <c r="M95" s="17"/>
      <c r="P95" s="8"/>
    </row>
    <row r="96" spans="1:18" ht="15.75" customHeight="1" x14ac:dyDescent="0.2">
      <c r="C96" s="12"/>
      <c r="D96" s="13"/>
      <c r="E96" s="14"/>
      <c r="G96" s="16"/>
      <c r="H96" s="16"/>
      <c r="I96" s="16"/>
      <c r="M96" s="17"/>
      <c r="P96" s="8"/>
    </row>
    <row r="97" spans="3:16" ht="15.75" customHeight="1" x14ac:dyDescent="0.2">
      <c r="C97" s="12"/>
      <c r="D97" s="13"/>
      <c r="E97" s="14"/>
      <c r="G97" s="16"/>
      <c r="H97" s="16"/>
      <c r="I97" s="16"/>
      <c r="M97" s="17"/>
      <c r="P97" s="8"/>
    </row>
    <row r="98" spans="3:16" ht="15.75" customHeight="1" x14ac:dyDescent="0.2">
      <c r="C98" s="12"/>
      <c r="D98" s="13"/>
      <c r="E98" s="14"/>
      <c r="G98" s="16"/>
      <c r="H98" s="16"/>
      <c r="I98" s="16"/>
      <c r="M98" s="17"/>
      <c r="P98" s="8"/>
    </row>
    <row r="99" spans="3:16" ht="15.75" customHeight="1" x14ac:dyDescent="0.2">
      <c r="C99" s="12"/>
      <c r="D99" s="13"/>
      <c r="E99" s="14"/>
      <c r="G99" s="16"/>
      <c r="H99" s="16"/>
      <c r="I99" s="16"/>
      <c r="M99" s="17"/>
      <c r="P99" s="8"/>
    </row>
    <row r="100" spans="3:16" ht="15.75" customHeight="1" x14ac:dyDescent="0.2">
      <c r="C100" s="12"/>
      <c r="D100" s="13"/>
      <c r="E100" s="14"/>
      <c r="G100" s="16"/>
      <c r="H100" s="16"/>
      <c r="I100" s="16"/>
      <c r="M100" s="17"/>
      <c r="P100" s="8"/>
    </row>
    <row r="101" spans="3:16" ht="15.75" customHeight="1" x14ac:dyDescent="0.2">
      <c r="C101" s="12"/>
      <c r="D101" s="13"/>
      <c r="E101" s="14"/>
      <c r="G101" s="16"/>
      <c r="H101" s="16"/>
      <c r="I101" s="16"/>
      <c r="M101" s="17"/>
      <c r="P101" s="8"/>
    </row>
    <row r="102" spans="3:16" ht="15.75" customHeight="1" x14ac:dyDescent="0.2">
      <c r="C102" s="12"/>
      <c r="D102" s="13"/>
      <c r="E102" s="14"/>
      <c r="G102" s="16"/>
      <c r="H102" s="16"/>
      <c r="I102" s="16"/>
      <c r="M102" s="17"/>
      <c r="P102" s="8"/>
    </row>
    <row r="103" spans="3:16" ht="15.75" customHeight="1" x14ac:dyDescent="0.2">
      <c r="C103" s="12"/>
      <c r="D103" s="13"/>
      <c r="E103" s="14"/>
      <c r="G103" s="16"/>
      <c r="H103" s="16"/>
      <c r="I103" s="16"/>
      <c r="M103" s="17"/>
      <c r="P103" s="8"/>
    </row>
    <row r="104" spans="3:16" ht="15.75" customHeight="1" x14ac:dyDescent="0.2">
      <c r="C104" s="12"/>
      <c r="D104" s="13"/>
      <c r="E104" s="14"/>
      <c r="G104" s="16"/>
      <c r="H104" s="16"/>
      <c r="I104" s="16"/>
      <c r="M104" s="17"/>
      <c r="P104" s="8"/>
    </row>
    <row r="105" spans="3:16" ht="15.75" customHeight="1" x14ac:dyDescent="0.2">
      <c r="C105" s="12"/>
      <c r="D105" s="13"/>
      <c r="E105" s="14"/>
      <c r="G105" s="16"/>
      <c r="H105" s="16"/>
      <c r="I105" s="16"/>
      <c r="M105" s="17"/>
      <c r="P105" s="8"/>
    </row>
    <row r="106" spans="3:16" ht="15.75" customHeight="1" x14ac:dyDescent="0.2">
      <c r="C106" s="12"/>
      <c r="D106" s="13"/>
      <c r="E106" s="14"/>
      <c r="G106" s="16"/>
      <c r="H106" s="16"/>
      <c r="I106" s="16"/>
      <c r="M106" s="17"/>
      <c r="P106" s="8"/>
    </row>
    <row r="107" spans="3:16" ht="15.75" customHeight="1" x14ac:dyDescent="0.2">
      <c r="C107" s="12"/>
      <c r="D107" s="13"/>
      <c r="E107" s="14"/>
      <c r="G107" s="16"/>
      <c r="H107" s="16"/>
      <c r="I107" s="16"/>
      <c r="M107" s="17"/>
      <c r="P107" s="8"/>
    </row>
    <row r="108" spans="3:16" ht="15.75" customHeight="1" x14ac:dyDescent="0.2">
      <c r="C108" s="12"/>
      <c r="D108" s="13"/>
      <c r="E108" s="14"/>
      <c r="G108" s="16"/>
      <c r="H108" s="16"/>
      <c r="I108" s="16"/>
      <c r="M108" s="17"/>
      <c r="P108" s="8"/>
    </row>
    <row r="109" spans="3:16" ht="15.75" customHeight="1" x14ac:dyDescent="0.2">
      <c r="C109" s="12"/>
      <c r="D109" s="13"/>
      <c r="E109" s="14"/>
      <c r="G109" s="16"/>
      <c r="H109" s="16"/>
      <c r="I109" s="16"/>
      <c r="M109" s="17"/>
      <c r="P109" s="8"/>
    </row>
    <row r="110" spans="3:16" ht="15.75" customHeight="1" x14ac:dyDescent="0.2">
      <c r="C110" s="12"/>
      <c r="D110" s="13"/>
      <c r="E110" s="14"/>
      <c r="G110" s="16"/>
      <c r="H110" s="16"/>
      <c r="I110" s="16"/>
      <c r="M110" s="17"/>
      <c r="P110" s="8"/>
    </row>
    <row r="111" spans="3:16" ht="15.75" customHeight="1" x14ac:dyDescent="0.2">
      <c r="C111" s="12"/>
      <c r="D111" s="13"/>
      <c r="E111" s="14"/>
      <c r="G111" s="16"/>
      <c r="H111" s="16"/>
      <c r="I111" s="16"/>
      <c r="M111" s="17"/>
      <c r="P111" s="8"/>
    </row>
    <row r="112" spans="3:16" ht="15.75" customHeight="1" x14ac:dyDescent="0.2">
      <c r="C112" s="12"/>
      <c r="D112" s="13"/>
      <c r="E112" s="14"/>
      <c r="G112" s="16"/>
      <c r="H112" s="16"/>
      <c r="I112" s="16"/>
      <c r="M112" s="17"/>
      <c r="P112" s="8"/>
    </row>
    <row r="113" spans="3:16" ht="15.75" customHeight="1" x14ac:dyDescent="0.2">
      <c r="C113" s="12"/>
      <c r="D113" s="13"/>
      <c r="E113" s="14"/>
      <c r="G113" s="16"/>
      <c r="H113" s="16"/>
      <c r="I113" s="16"/>
      <c r="M113" s="17"/>
      <c r="P113" s="8"/>
    </row>
    <row r="114" spans="3:16" ht="15.75" customHeight="1" x14ac:dyDescent="0.2">
      <c r="C114" s="12"/>
      <c r="D114" s="13"/>
      <c r="E114" s="14"/>
      <c r="G114" s="16"/>
      <c r="H114" s="16"/>
      <c r="I114" s="16"/>
      <c r="M114" s="17"/>
      <c r="P114" s="8"/>
    </row>
    <row r="115" spans="3:16" ht="15.75" customHeight="1" x14ac:dyDescent="0.2">
      <c r="C115" s="12"/>
      <c r="D115" s="13"/>
      <c r="E115" s="14"/>
      <c r="G115" s="16"/>
      <c r="H115" s="16"/>
      <c r="I115" s="16"/>
      <c r="M115" s="17"/>
      <c r="P115" s="8"/>
    </row>
    <row r="116" spans="3:16" ht="15.75" customHeight="1" x14ac:dyDescent="0.2">
      <c r="C116" s="12"/>
      <c r="D116" s="13"/>
      <c r="E116" s="14"/>
      <c r="G116" s="16"/>
      <c r="H116" s="16"/>
      <c r="I116" s="16"/>
      <c r="M116" s="17"/>
      <c r="P116" s="8"/>
    </row>
    <row r="117" spans="3:16" ht="15.75" customHeight="1" x14ac:dyDescent="0.2">
      <c r="C117" s="12"/>
      <c r="D117" s="13"/>
      <c r="E117" s="14"/>
      <c r="G117" s="16"/>
      <c r="H117" s="16"/>
      <c r="I117" s="16"/>
      <c r="M117" s="17"/>
      <c r="P117" s="8"/>
    </row>
    <row r="118" spans="3:16" ht="15.75" customHeight="1" x14ac:dyDescent="0.2">
      <c r="C118" s="12"/>
      <c r="D118" s="13"/>
      <c r="E118" s="14"/>
      <c r="G118" s="16"/>
      <c r="H118" s="16"/>
      <c r="I118" s="16"/>
      <c r="M118" s="17"/>
      <c r="P118" s="8"/>
    </row>
    <row r="119" spans="3:16" ht="15.75" customHeight="1" x14ac:dyDescent="0.2">
      <c r="C119" s="12"/>
      <c r="D119" s="13"/>
      <c r="E119" s="14"/>
      <c r="G119" s="16"/>
      <c r="H119" s="16"/>
      <c r="I119" s="16"/>
      <c r="M119" s="17"/>
      <c r="P119" s="8"/>
    </row>
    <row r="120" spans="3:16" ht="15.75" customHeight="1" x14ac:dyDescent="0.2">
      <c r="C120" s="12"/>
      <c r="D120" s="13"/>
      <c r="E120" s="14"/>
      <c r="G120" s="16"/>
      <c r="H120" s="16"/>
      <c r="I120" s="16"/>
      <c r="M120" s="17"/>
      <c r="P120" s="8"/>
    </row>
    <row r="121" spans="3:16" ht="15.75" customHeight="1" x14ac:dyDescent="0.2">
      <c r="C121" s="12"/>
      <c r="D121" s="13"/>
      <c r="E121" s="14"/>
      <c r="G121" s="16"/>
      <c r="H121" s="16"/>
      <c r="I121" s="16"/>
      <c r="M121" s="17"/>
      <c r="P121" s="8"/>
    </row>
    <row r="122" spans="3:16" ht="15.75" customHeight="1" x14ac:dyDescent="0.2">
      <c r="C122" s="12"/>
      <c r="D122" s="13"/>
      <c r="E122" s="14"/>
      <c r="G122" s="16"/>
      <c r="H122" s="16"/>
      <c r="I122" s="16"/>
      <c r="M122" s="17"/>
      <c r="P122" s="8"/>
    </row>
    <row r="123" spans="3:16" ht="15.75" customHeight="1" x14ac:dyDescent="0.2">
      <c r="C123" s="12"/>
      <c r="D123" s="13"/>
      <c r="E123" s="14"/>
      <c r="G123" s="16"/>
      <c r="H123" s="16"/>
      <c r="I123" s="16"/>
      <c r="M123" s="17"/>
      <c r="P123" s="8"/>
    </row>
    <row r="124" spans="3:16" ht="15.75" customHeight="1" x14ac:dyDescent="0.2">
      <c r="C124" s="12"/>
      <c r="D124" s="13"/>
      <c r="E124" s="14"/>
      <c r="G124" s="16"/>
      <c r="H124" s="16"/>
      <c r="I124" s="16"/>
      <c r="M124" s="17"/>
      <c r="P124" s="8"/>
    </row>
    <row r="125" spans="3:16" ht="15.75" customHeight="1" x14ac:dyDescent="0.2">
      <c r="C125" s="12"/>
      <c r="D125" s="13"/>
      <c r="E125" s="14"/>
      <c r="G125" s="16"/>
      <c r="H125" s="16"/>
      <c r="I125" s="16"/>
      <c r="M125" s="17"/>
      <c r="P125" s="8"/>
    </row>
    <row r="126" spans="3:16" ht="15.75" customHeight="1" x14ac:dyDescent="0.2">
      <c r="C126" s="12"/>
      <c r="D126" s="13"/>
      <c r="E126" s="14"/>
      <c r="G126" s="16"/>
      <c r="H126" s="16"/>
      <c r="I126" s="16"/>
      <c r="M126" s="17"/>
      <c r="P126" s="8"/>
    </row>
    <row r="127" spans="3:16" ht="15.75" customHeight="1" x14ac:dyDescent="0.2">
      <c r="C127" s="12"/>
      <c r="D127" s="13"/>
      <c r="E127" s="14"/>
      <c r="G127" s="16"/>
      <c r="H127" s="16"/>
      <c r="I127" s="16"/>
      <c r="M127" s="17"/>
      <c r="P127" s="8"/>
    </row>
    <row r="128" spans="3:16" ht="15.75" customHeight="1" x14ac:dyDescent="0.2">
      <c r="C128" s="12"/>
      <c r="D128" s="13"/>
      <c r="E128" s="14"/>
      <c r="G128" s="16"/>
      <c r="H128" s="16"/>
      <c r="I128" s="16"/>
      <c r="M128" s="17"/>
      <c r="P128" s="8"/>
    </row>
    <row r="129" spans="3:16" ht="15.75" customHeight="1" x14ac:dyDescent="0.2">
      <c r="C129" s="12"/>
      <c r="D129" s="13"/>
      <c r="E129" s="14"/>
      <c r="G129" s="16"/>
      <c r="H129" s="16"/>
      <c r="I129" s="16"/>
      <c r="M129" s="17"/>
      <c r="P129" s="8"/>
    </row>
    <row r="130" spans="3:16" ht="15.75" customHeight="1" x14ac:dyDescent="0.2">
      <c r="C130" s="12"/>
      <c r="D130" s="13"/>
      <c r="E130" s="14"/>
      <c r="G130" s="16"/>
      <c r="H130" s="16"/>
      <c r="I130" s="16"/>
      <c r="M130" s="17"/>
      <c r="P130" s="8"/>
    </row>
    <row r="131" spans="3:16" ht="15.75" customHeight="1" x14ac:dyDescent="0.2">
      <c r="C131" s="12"/>
      <c r="D131" s="13"/>
      <c r="E131" s="14"/>
      <c r="G131" s="16"/>
      <c r="H131" s="16"/>
      <c r="I131" s="16"/>
      <c r="M131" s="17"/>
      <c r="P131" s="8"/>
    </row>
    <row r="132" spans="3:16" ht="15.75" customHeight="1" x14ac:dyDescent="0.2">
      <c r="C132" s="12"/>
      <c r="D132" s="13"/>
      <c r="E132" s="14"/>
      <c r="G132" s="16"/>
      <c r="H132" s="16"/>
      <c r="I132" s="16"/>
      <c r="M132" s="17"/>
      <c r="P132" s="8"/>
    </row>
    <row r="133" spans="3:16" ht="15.75" customHeight="1" x14ac:dyDescent="0.2">
      <c r="C133" s="12"/>
      <c r="D133" s="13"/>
      <c r="E133" s="14"/>
      <c r="G133" s="16"/>
      <c r="H133" s="16"/>
      <c r="I133" s="16"/>
      <c r="M133" s="17"/>
      <c r="P133" s="8"/>
    </row>
    <row r="134" spans="3:16" ht="15.75" customHeight="1" x14ac:dyDescent="0.2">
      <c r="C134" s="12"/>
      <c r="D134" s="13"/>
      <c r="E134" s="14"/>
      <c r="G134" s="16"/>
      <c r="H134" s="16"/>
      <c r="I134" s="16"/>
      <c r="M134" s="17"/>
      <c r="P134" s="8"/>
    </row>
    <row r="135" spans="3:16" ht="15.75" customHeight="1" x14ac:dyDescent="0.2">
      <c r="C135" s="12"/>
      <c r="D135" s="13"/>
      <c r="E135" s="14"/>
      <c r="G135" s="16"/>
      <c r="H135" s="16"/>
      <c r="I135" s="16"/>
      <c r="M135" s="17"/>
      <c r="P135" s="8"/>
    </row>
    <row r="136" spans="3:16" ht="15.75" customHeight="1" x14ac:dyDescent="0.2">
      <c r="C136" s="12"/>
      <c r="D136" s="13"/>
      <c r="E136" s="14"/>
      <c r="G136" s="16"/>
      <c r="H136" s="16"/>
      <c r="I136" s="16"/>
      <c r="M136" s="17"/>
      <c r="P136" s="8"/>
    </row>
    <row r="137" spans="3:16" ht="15.75" customHeight="1" x14ac:dyDescent="0.2">
      <c r="C137" s="12"/>
      <c r="D137" s="13"/>
      <c r="E137" s="14"/>
      <c r="G137" s="16"/>
      <c r="H137" s="16"/>
      <c r="I137" s="16"/>
      <c r="M137" s="17"/>
      <c r="P137" s="8"/>
    </row>
    <row r="138" spans="3:16" ht="15.75" customHeight="1" x14ac:dyDescent="0.2">
      <c r="C138" s="12"/>
      <c r="D138" s="13"/>
      <c r="E138" s="14"/>
      <c r="G138" s="16"/>
      <c r="H138" s="16"/>
      <c r="I138" s="16"/>
      <c r="M138" s="17"/>
      <c r="P138" s="8"/>
    </row>
    <row r="139" spans="3:16" ht="15.75" customHeight="1" x14ac:dyDescent="0.2">
      <c r="C139" s="12"/>
      <c r="D139" s="13"/>
      <c r="E139" s="14"/>
      <c r="G139" s="16"/>
      <c r="H139" s="16"/>
      <c r="I139" s="16"/>
      <c r="M139" s="17"/>
      <c r="P139" s="8"/>
    </row>
    <row r="140" spans="3:16" ht="15.75" customHeight="1" x14ac:dyDescent="0.2">
      <c r="C140" s="12"/>
      <c r="D140" s="13"/>
      <c r="E140" s="14"/>
      <c r="G140" s="16"/>
      <c r="H140" s="16"/>
      <c r="I140" s="16"/>
      <c r="M140" s="17"/>
      <c r="P140" s="8"/>
    </row>
    <row r="141" spans="3:16" ht="15.75" customHeight="1" x14ac:dyDescent="0.2">
      <c r="C141" s="12"/>
      <c r="D141" s="13"/>
      <c r="E141" s="14"/>
      <c r="G141" s="16"/>
      <c r="H141" s="16"/>
      <c r="I141" s="16"/>
      <c r="M141" s="17"/>
      <c r="P141" s="8"/>
    </row>
    <row r="142" spans="3:16" ht="15.75" customHeight="1" x14ac:dyDescent="0.2">
      <c r="C142" s="12"/>
      <c r="D142" s="13"/>
      <c r="E142" s="14"/>
      <c r="G142" s="16"/>
      <c r="H142" s="16"/>
      <c r="I142" s="16"/>
      <c r="M142" s="17"/>
      <c r="P142" s="8"/>
    </row>
    <row r="143" spans="3:16" ht="15.75" customHeight="1" x14ac:dyDescent="0.2">
      <c r="C143" s="12"/>
      <c r="D143" s="13"/>
      <c r="E143" s="14"/>
      <c r="G143" s="16"/>
      <c r="H143" s="16"/>
      <c r="I143" s="16"/>
      <c r="M143" s="17"/>
      <c r="P143" s="8"/>
    </row>
    <row r="144" spans="3:16" ht="15.75" customHeight="1" x14ac:dyDescent="0.2">
      <c r="C144" s="12"/>
      <c r="D144" s="13"/>
      <c r="E144" s="14"/>
      <c r="G144" s="16"/>
      <c r="H144" s="16"/>
      <c r="I144" s="16"/>
      <c r="M144" s="17"/>
      <c r="P144" s="8"/>
    </row>
    <row r="145" spans="3:16" ht="15.75" customHeight="1" x14ac:dyDescent="0.2">
      <c r="C145" s="12"/>
      <c r="D145" s="13"/>
      <c r="E145" s="14"/>
      <c r="G145" s="16"/>
      <c r="H145" s="16"/>
      <c r="I145" s="16"/>
      <c r="M145" s="17"/>
      <c r="P145" s="8"/>
    </row>
    <row r="146" spans="3:16" ht="15.75" customHeight="1" x14ac:dyDescent="0.2">
      <c r="C146" s="12"/>
      <c r="D146" s="13"/>
      <c r="E146" s="14"/>
      <c r="G146" s="16"/>
      <c r="H146" s="16"/>
      <c r="I146" s="16"/>
      <c r="M146" s="17"/>
      <c r="P146" s="8"/>
    </row>
    <row r="147" spans="3:16" ht="15.75" customHeight="1" x14ac:dyDescent="0.2">
      <c r="C147" s="12"/>
      <c r="D147" s="13"/>
      <c r="E147" s="14"/>
      <c r="G147" s="16"/>
      <c r="H147" s="16"/>
      <c r="I147" s="16"/>
      <c r="M147" s="17"/>
      <c r="P147" s="8"/>
    </row>
    <row r="148" spans="3:16" ht="15.75" customHeight="1" x14ac:dyDescent="0.2">
      <c r="C148" s="12"/>
      <c r="D148" s="13"/>
      <c r="E148" s="14"/>
      <c r="G148" s="16"/>
      <c r="H148" s="16"/>
      <c r="I148" s="16"/>
      <c r="M148" s="17"/>
      <c r="P148" s="8"/>
    </row>
    <row r="149" spans="3:16" ht="15.75" customHeight="1" x14ac:dyDescent="0.2">
      <c r="C149" s="12"/>
      <c r="D149" s="13"/>
      <c r="E149" s="14"/>
      <c r="G149" s="16"/>
      <c r="H149" s="16"/>
      <c r="I149" s="16"/>
      <c r="M149" s="17"/>
      <c r="P149" s="8"/>
    </row>
    <row r="150" spans="3:16" ht="15.75" customHeight="1" x14ac:dyDescent="0.2">
      <c r="C150" s="12"/>
      <c r="D150" s="13"/>
      <c r="E150" s="14"/>
      <c r="G150" s="16"/>
      <c r="H150" s="16"/>
      <c r="I150" s="16"/>
      <c r="M150" s="17"/>
      <c r="P150" s="8"/>
    </row>
    <row r="151" spans="3:16" ht="15.75" customHeight="1" x14ac:dyDescent="0.2">
      <c r="C151" s="12"/>
      <c r="D151" s="13"/>
      <c r="E151" s="14"/>
      <c r="G151" s="16"/>
      <c r="H151" s="16"/>
      <c r="I151" s="16"/>
      <c r="M151" s="17"/>
      <c r="P151" s="8"/>
    </row>
    <row r="152" spans="3:16" ht="15.75" customHeight="1" x14ac:dyDescent="0.2">
      <c r="C152" s="12"/>
      <c r="D152" s="13"/>
      <c r="E152" s="14"/>
      <c r="G152" s="16"/>
      <c r="H152" s="16"/>
      <c r="I152" s="16"/>
      <c r="M152" s="17"/>
      <c r="P152" s="8"/>
    </row>
    <row r="153" spans="3:16" ht="15.75" customHeight="1" x14ac:dyDescent="0.2">
      <c r="C153" s="12"/>
      <c r="D153" s="13"/>
      <c r="E153" s="14"/>
      <c r="G153" s="16"/>
      <c r="H153" s="16"/>
      <c r="I153" s="16"/>
      <c r="M153" s="17"/>
      <c r="P153" s="8"/>
    </row>
    <row r="154" spans="3:16" ht="15.75" customHeight="1" x14ac:dyDescent="0.2">
      <c r="C154" s="12"/>
      <c r="D154" s="13"/>
      <c r="E154" s="14"/>
      <c r="G154" s="16"/>
      <c r="H154" s="16"/>
      <c r="I154" s="16"/>
      <c r="M154" s="17"/>
      <c r="P154" s="8"/>
    </row>
    <row r="155" spans="3:16" ht="15.75" customHeight="1" x14ac:dyDescent="0.2">
      <c r="C155" s="12"/>
      <c r="D155" s="13"/>
      <c r="E155" s="14"/>
      <c r="G155" s="16"/>
      <c r="H155" s="16"/>
      <c r="I155" s="16"/>
      <c r="M155" s="17"/>
      <c r="P155" s="8"/>
    </row>
    <row r="156" spans="3:16" ht="15.75" customHeight="1" x14ac:dyDescent="0.2">
      <c r="C156" s="12"/>
      <c r="D156" s="13"/>
      <c r="E156" s="14"/>
      <c r="G156" s="16"/>
      <c r="H156" s="16"/>
      <c r="I156" s="16"/>
      <c r="M156" s="17"/>
      <c r="P156" s="8"/>
    </row>
    <row r="157" spans="3:16" ht="15.75" customHeight="1" x14ac:dyDescent="0.2">
      <c r="C157" s="12"/>
      <c r="D157" s="13"/>
      <c r="E157" s="14"/>
      <c r="G157" s="16"/>
      <c r="H157" s="16"/>
      <c r="I157" s="16"/>
      <c r="M157" s="17"/>
      <c r="P157" s="8"/>
    </row>
    <row r="158" spans="3:16" ht="15.75" customHeight="1" x14ac:dyDescent="0.2">
      <c r="C158" s="12"/>
      <c r="D158" s="13"/>
      <c r="E158" s="14"/>
      <c r="G158" s="16"/>
      <c r="H158" s="16"/>
      <c r="I158" s="16"/>
      <c r="M158" s="17"/>
      <c r="P158" s="8"/>
    </row>
    <row r="159" spans="3:16" ht="15.75" customHeight="1" x14ac:dyDescent="0.2">
      <c r="C159" s="12"/>
      <c r="D159" s="13"/>
      <c r="E159" s="14"/>
      <c r="G159" s="16"/>
      <c r="H159" s="16"/>
      <c r="I159" s="16"/>
      <c r="M159" s="17"/>
      <c r="P159" s="8"/>
    </row>
    <row r="160" spans="3:16" ht="15.75" customHeight="1" x14ac:dyDescent="0.2">
      <c r="C160" s="12"/>
      <c r="D160" s="13"/>
      <c r="E160" s="14"/>
      <c r="G160" s="16"/>
      <c r="H160" s="16"/>
      <c r="I160" s="16"/>
      <c r="M160" s="17"/>
      <c r="P160" s="8"/>
    </row>
    <row r="161" spans="3:16" ht="15.75" customHeight="1" x14ac:dyDescent="0.2">
      <c r="C161" s="12"/>
      <c r="D161" s="13"/>
      <c r="E161" s="14"/>
      <c r="G161" s="16"/>
      <c r="H161" s="16"/>
      <c r="I161" s="16"/>
      <c r="M161" s="17"/>
      <c r="P161" s="8"/>
    </row>
    <row r="162" spans="3:16" ht="15.75" customHeight="1" x14ac:dyDescent="0.2">
      <c r="C162" s="12"/>
      <c r="D162" s="13"/>
      <c r="E162" s="14"/>
      <c r="G162" s="16"/>
      <c r="H162" s="16"/>
      <c r="I162" s="16"/>
      <c r="M162" s="17"/>
      <c r="P162" s="8"/>
    </row>
    <row r="163" spans="3:16" ht="15.75" customHeight="1" x14ac:dyDescent="0.2">
      <c r="C163" s="12"/>
      <c r="D163" s="13"/>
      <c r="E163" s="14"/>
      <c r="G163" s="16"/>
      <c r="H163" s="16"/>
      <c r="I163" s="16"/>
      <c r="M163" s="17"/>
      <c r="P163" s="8"/>
    </row>
    <row r="164" spans="3:16" ht="15.75" customHeight="1" x14ac:dyDescent="0.2">
      <c r="C164" s="12"/>
      <c r="D164" s="13"/>
      <c r="E164" s="14"/>
      <c r="G164" s="16"/>
      <c r="H164" s="16"/>
      <c r="I164" s="16"/>
      <c r="M164" s="17"/>
      <c r="P164" s="8"/>
    </row>
    <row r="165" spans="3:16" ht="15.75" customHeight="1" x14ac:dyDescent="0.2">
      <c r="C165" s="12"/>
      <c r="D165" s="13"/>
      <c r="E165" s="14"/>
      <c r="G165" s="16"/>
      <c r="H165" s="16"/>
      <c r="I165" s="16"/>
      <c r="M165" s="17"/>
      <c r="P165" s="8"/>
    </row>
    <row r="166" spans="3:16" ht="15.75" customHeight="1" x14ac:dyDescent="0.2">
      <c r="C166" s="12"/>
      <c r="D166" s="13"/>
      <c r="E166" s="14"/>
      <c r="G166" s="16"/>
      <c r="H166" s="16"/>
      <c r="I166" s="16"/>
      <c r="M166" s="17"/>
      <c r="P166" s="8"/>
    </row>
    <row r="167" spans="3:16" ht="15.75" customHeight="1" x14ac:dyDescent="0.2">
      <c r="C167" s="12"/>
      <c r="D167" s="13"/>
      <c r="E167" s="14"/>
      <c r="G167" s="16"/>
      <c r="H167" s="16"/>
      <c r="I167" s="16"/>
      <c r="M167" s="17"/>
      <c r="P167" s="8"/>
    </row>
    <row r="168" spans="3:16" ht="15.75" customHeight="1" x14ac:dyDescent="0.2">
      <c r="C168" s="12"/>
      <c r="D168" s="13"/>
      <c r="E168" s="14"/>
      <c r="G168" s="16"/>
      <c r="H168" s="16"/>
      <c r="I168" s="16"/>
      <c r="M168" s="17"/>
      <c r="P168" s="8"/>
    </row>
    <row r="169" spans="3:16" ht="15.75" customHeight="1" x14ac:dyDescent="0.2">
      <c r="C169" s="12"/>
      <c r="D169" s="13"/>
      <c r="E169" s="14"/>
      <c r="G169" s="16"/>
      <c r="H169" s="16"/>
      <c r="I169" s="16"/>
      <c r="M169" s="17"/>
      <c r="P169" s="8"/>
    </row>
    <row r="170" spans="3:16" ht="15.75" customHeight="1" x14ac:dyDescent="0.2">
      <c r="C170" s="12"/>
      <c r="D170" s="13"/>
      <c r="E170" s="14"/>
      <c r="G170" s="16"/>
      <c r="H170" s="16"/>
      <c r="I170" s="16"/>
      <c r="M170" s="17"/>
      <c r="P170" s="8"/>
    </row>
    <row r="171" spans="3:16" ht="15.75" customHeight="1" x14ac:dyDescent="0.2">
      <c r="C171" s="12"/>
      <c r="D171" s="13"/>
      <c r="E171" s="14"/>
      <c r="G171" s="16"/>
      <c r="H171" s="16"/>
      <c r="I171" s="16"/>
      <c r="M171" s="17"/>
      <c r="P171" s="8"/>
    </row>
    <row r="172" spans="3:16" ht="15.75" customHeight="1" x14ac:dyDescent="0.2">
      <c r="C172" s="12"/>
      <c r="D172" s="13"/>
      <c r="E172" s="14"/>
      <c r="G172" s="16"/>
      <c r="H172" s="16"/>
      <c r="I172" s="16"/>
      <c r="M172" s="17"/>
      <c r="P172" s="8"/>
    </row>
    <row r="173" spans="3:16" ht="15.75" customHeight="1" x14ac:dyDescent="0.2">
      <c r="C173" s="12"/>
      <c r="D173" s="13"/>
      <c r="E173" s="14"/>
      <c r="G173" s="16"/>
      <c r="H173" s="16"/>
      <c r="I173" s="16"/>
      <c r="M173" s="17"/>
      <c r="P173" s="8"/>
    </row>
    <row r="174" spans="3:16" ht="15.75" customHeight="1" x14ac:dyDescent="0.2">
      <c r="C174" s="12"/>
      <c r="D174" s="13"/>
      <c r="E174" s="14"/>
      <c r="G174" s="16"/>
      <c r="H174" s="16"/>
      <c r="I174" s="16"/>
      <c r="M174" s="17"/>
      <c r="P174" s="8"/>
    </row>
    <row r="175" spans="3:16" ht="15.75" customHeight="1" x14ac:dyDescent="0.2">
      <c r="C175" s="12"/>
      <c r="D175" s="13"/>
      <c r="E175" s="14"/>
      <c r="G175" s="16"/>
      <c r="H175" s="16"/>
      <c r="I175" s="16"/>
      <c r="M175" s="17"/>
      <c r="P175" s="8"/>
    </row>
    <row r="176" spans="3:16" ht="15.75" customHeight="1" x14ac:dyDescent="0.2">
      <c r="C176" s="12"/>
      <c r="D176" s="13"/>
      <c r="E176" s="14"/>
      <c r="G176" s="16"/>
      <c r="H176" s="16"/>
      <c r="I176" s="16"/>
      <c r="M176" s="17"/>
      <c r="P176" s="8"/>
    </row>
    <row r="177" spans="3:16" ht="15.75" customHeight="1" x14ac:dyDescent="0.2">
      <c r="C177" s="12"/>
      <c r="D177" s="13"/>
      <c r="E177" s="14"/>
      <c r="G177" s="16"/>
      <c r="H177" s="16"/>
      <c r="I177" s="16"/>
      <c r="M177" s="17"/>
      <c r="P177" s="8"/>
    </row>
    <row r="178" spans="3:16" ht="15.75" customHeight="1" x14ac:dyDescent="0.2">
      <c r="C178" s="12"/>
      <c r="D178" s="13"/>
      <c r="E178" s="14"/>
      <c r="G178" s="16"/>
      <c r="H178" s="16"/>
      <c r="I178" s="16"/>
      <c r="M178" s="17"/>
      <c r="P178" s="8"/>
    </row>
    <row r="179" spans="3:16" ht="15.75" customHeight="1" x14ac:dyDescent="0.2">
      <c r="C179" s="12"/>
      <c r="D179" s="13"/>
      <c r="E179" s="14"/>
      <c r="G179" s="16"/>
      <c r="H179" s="16"/>
      <c r="I179" s="16"/>
      <c r="M179" s="17"/>
      <c r="P179" s="8"/>
    </row>
    <row r="180" spans="3:16" ht="15.75" customHeight="1" x14ac:dyDescent="0.2">
      <c r="C180" s="12"/>
      <c r="D180" s="13"/>
      <c r="E180" s="14"/>
      <c r="G180" s="16"/>
      <c r="H180" s="16"/>
      <c r="I180" s="16"/>
      <c r="M180" s="17"/>
      <c r="P180" s="8"/>
    </row>
    <row r="181" spans="3:16" ht="15.75" customHeight="1" x14ac:dyDescent="0.2">
      <c r="C181" s="12"/>
      <c r="D181" s="13"/>
      <c r="E181" s="14"/>
      <c r="G181" s="16"/>
      <c r="H181" s="16"/>
      <c r="I181" s="16"/>
      <c r="M181" s="17"/>
      <c r="P181" s="8"/>
    </row>
    <row r="182" spans="3:16" ht="15.75" customHeight="1" x14ac:dyDescent="0.2">
      <c r="C182" s="12"/>
      <c r="D182" s="13"/>
      <c r="E182" s="14"/>
      <c r="G182" s="16"/>
      <c r="H182" s="16"/>
      <c r="I182" s="16"/>
      <c r="M182" s="17"/>
      <c r="P182" s="8"/>
    </row>
    <row r="183" spans="3:16" ht="15.75" customHeight="1" x14ac:dyDescent="0.2">
      <c r="C183" s="12"/>
      <c r="D183" s="13"/>
      <c r="E183" s="14"/>
      <c r="G183" s="16"/>
      <c r="H183" s="16"/>
      <c r="I183" s="16"/>
      <c r="M183" s="17"/>
      <c r="P183" s="8"/>
    </row>
    <row r="184" spans="3:16" ht="15.75" customHeight="1" x14ac:dyDescent="0.2">
      <c r="C184" s="12"/>
      <c r="D184" s="13"/>
      <c r="E184" s="14"/>
      <c r="G184" s="16"/>
      <c r="H184" s="16"/>
      <c r="I184" s="16"/>
      <c r="M184" s="17"/>
      <c r="P184" s="8"/>
    </row>
    <row r="185" spans="3:16" ht="15.75" customHeight="1" x14ac:dyDescent="0.2">
      <c r="C185" s="12"/>
      <c r="D185" s="13"/>
      <c r="E185" s="14"/>
      <c r="G185" s="16"/>
      <c r="H185" s="16"/>
      <c r="I185" s="16"/>
      <c r="M185" s="17"/>
      <c r="P185" s="8"/>
    </row>
    <row r="186" spans="3:16" ht="15.75" customHeight="1" x14ac:dyDescent="0.2">
      <c r="C186" s="12"/>
      <c r="D186" s="13"/>
      <c r="E186" s="14"/>
      <c r="G186" s="16"/>
      <c r="H186" s="16"/>
      <c r="I186" s="16"/>
      <c r="M186" s="17"/>
      <c r="P186" s="8"/>
    </row>
    <row r="187" spans="3:16" ht="15.75" customHeight="1" x14ac:dyDescent="0.2">
      <c r="C187" s="12"/>
      <c r="D187" s="13"/>
      <c r="E187" s="14"/>
      <c r="G187" s="16"/>
      <c r="H187" s="16"/>
      <c r="I187" s="16"/>
      <c r="M187" s="17"/>
      <c r="P187" s="8"/>
    </row>
    <row r="188" spans="3:16" ht="15.75" customHeight="1" x14ac:dyDescent="0.2">
      <c r="C188" s="12"/>
      <c r="D188" s="13"/>
      <c r="E188" s="14"/>
      <c r="G188" s="16"/>
      <c r="H188" s="16"/>
      <c r="I188" s="16"/>
      <c r="M188" s="17"/>
      <c r="P188" s="8"/>
    </row>
    <row r="189" spans="3:16" ht="15.75" customHeight="1" x14ac:dyDescent="0.2">
      <c r="C189" s="12"/>
      <c r="D189" s="13"/>
      <c r="E189" s="14"/>
      <c r="G189" s="16"/>
      <c r="H189" s="16"/>
      <c r="I189" s="16"/>
      <c r="M189" s="17"/>
      <c r="P189" s="8"/>
    </row>
    <row r="190" spans="3:16" ht="15.75" customHeight="1" x14ac:dyDescent="0.2">
      <c r="C190" s="12"/>
      <c r="D190" s="13"/>
      <c r="E190" s="14"/>
      <c r="G190" s="16"/>
      <c r="H190" s="16"/>
      <c r="I190" s="16"/>
      <c r="M190" s="17"/>
      <c r="P190" s="8"/>
    </row>
    <row r="191" spans="3:16" ht="15.75" customHeight="1" x14ac:dyDescent="0.2">
      <c r="C191" s="12"/>
      <c r="D191" s="13"/>
      <c r="E191" s="14"/>
      <c r="G191" s="16"/>
      <c r="H191" s="16"/>
      <c r="I191" s="16"/>
      <c r="M191" s="17"/>
      <c r="P191" s="8"/>
    </row>
    <row r="192" spans="3:16" ht="15.75" customHeight="1" x14ac:dyDescent="0.2">
      <c r="C192" s="12"/>
      <c r="D192" s="13"/>
      <c r="E192" s="14"/>
      <c r="G192" s="16"/>
      <c r="H192" s="16"/>
      <c r="I192" s="16"/>
      <c r="M192" s="17"/>
      <c r="P192" s="8"/>
    </row>
    <row r="193" spans="3:16" ht="15.75" customHeight="1" x14ac:dyDescent="0.2">
      <c r="C193" s="12"/>
      <c r="D193" s="13"/>
      <c r="E193" s="14"/>
      <c r="G193" s="16"/>
      <c r="H193" s="16"/>
      <c r="I193" s="16"/>
      <c r="M193" s="17"/>
      <c r="P193" s="8"/>
    </row>
    <row r="194" spans="3:16" ht="15.75" customHeight="1" x14ac:dyDescent="0.2">
      <c r="C194" s="12"/>
      <c r="D194" s="13"/>
      <c r="E194" s="14"/>
      <c r="G194" s="16"/>
      <c r="H194" s="16"/>
      <c r="I194" s="16"/>
      <c r="M194" s="17"/>
      <c r="P194" s="8"/>
    </row>
    <row r="195" spans="3:16" ht="15.75" customHeight="1" x14ac:dyDescent="0.2">
      <c r="C195" s="12"/>
      <c r="D195" s="13"/>
      <c r="E195" s="14"/>
      <c r="G195" s="16"/>
      <c r="H195" s="16"/>
      <c r="I195" s="16"/>
      <c r="M195" s="17"/>
      <c r="P195" s="8"/>
    </row>
    <row r="196" spans="3:16" ht="15.75" customHeight="1" x14ac:dyDescent="0.2">
      <c r="C196" s="12"/>
      <c r="D196" s="13"/>
      <c r="E196" s="14"/>
      <c r="G196" s="16"/>
      <c r="H196" s="16"/>
      <c r="I196" s="16"/>
      <c r="M196" s="17"/>
      <c r="P196" s="8"/>
    </row>
    <row r="197" spans="3:16" ht="15.75" customHeight="1" x14ac:dyDescent="0.2">
      <c r="C197" s="12"/>
      <c r="D197" s="13"/>
      <c r="E197" s="14"/>
      <c r="G197" s="16"/>
      <c r="H197" s="16"/>
      <c r="I197" s="16"/>
      <c r="M197" s="17"/>
      <c r="P197" s="8"/>
    </row>
    <row r="198" spans="3:16" ht="15.75" customHeight="1" x14ac:dyDescent="0.2">
      <c r="C198" s="12"/>
      <c r="D198" s="13"/>
      <c r="E198" s="14"/>
      <c r="G198" s="16"/>
      <c r="H198" s="16"/>
      <c r="I198" s="16"/>
      <c r="M198" s="17"/>
      <c r="P198" s="8"/>
    </row>
    <row r="199" spans="3:16" ht="15.75" customHeight="1" x14ac:dyDescent="0.2">
      <c r="C199" s="12"/>
      <c r="D199" s="13"/>
      <c r="E199" s="14"/>
      <c r="G199" s="16"/>
      <c r="H199" s="16"/>
      <c r="I199" s="16"/>
      <c r="M199" s="17"/>
      <c r="P199" s="8"/>
    </row>
    <row r="200" spans="3:16" ht="15.75" customHeight="1" x14ac:dyDescent="0.2">
      <c r="C200" s="12"/>
      <c r="D200" s="13"/>
      <c r="E200" s="14"/>
      <c r="G200" s="16"/>
      <c r="H200" s="16"/>
      <c r="I200" s="16"/>
      <c r="M200" s="17"/>
      <c r="P200" s="8"/>
    </row>
    <row r="201" spans="3:16" ht="15.75" customHeight="1" x14ac:dyDescent="0.2">
      <c r="C201" s="12"/>
      <c r="D201" s="13"/>
      <c r="E201" s="14"/>
      <c r="G201" s="16"/>
      <c r="H201" s="16"/>
      <c r="I201" s="16"/>
      <c r="M201" s="17"/>
      <c r="P201" s="8"/>
    </row>
    <row r="202" spans="3:16" ht="15.75" customHeight="1" x14ac:dyDescent="0.2">
      <c r="C202" s="12"/>
      <c r="D202" s="13"/>
      <c r="E202" s="14"/>
      <c r="G202" s="16"/>
      <c r="H202" s="16"/>
      <c r="I202" s="16"/>
      <c r="M202" s="17"/>
      <c r="P202" s="8"/>
    </row>
    <row r="203" spans="3:16" ht="15.75" customHeight="1" x14ac:dyDescent="0.2">
      <c r="C203" s="12"/>
      <c r="D203" s="13"/>
      <c r="E203" s="14"/>
      <c r="G203" s="16"/>
      <c r="H203" s="16"/>
      <c r="I203" s="16"/>
      <c r="M203" s="17"/>
      <c r="P203" s="8"/>
    </row>
    <row r="204" spans="3:16" ht="15.75" customHeight="1" x14ac:dyDescent="0.2">
      <c r="C204" s="12"/>
      <c r="D204" s="13"/>
      <c r="E204" s="14"/>
      <c r="G204" s="16"/>
      <c r="H204" s="16"/>
      <c r="I204" s="16"/>
      <c r="M204" s="17"/>
      <c r="P204" s="8"/>
    </row>
    <row r="205" spans="3:16" ht="15.75" customHeight="1" x14ac:dyDescent="0.2">
      <c r="C205" s="12"/>
      <c r="D205" s="13"/>
      <c r="E205" s="14"/>
      <c r="G205" s="16"/>
      <c r="H205" s="16"/>
      <c r="I205" s="16"/>
      <c r="M205" s="17"/>
      <c r="P205" s="8"/>
    </row>
    <row r="206" spans="3:16" ht="15.75" customHeight="1" x14ac:dyDescent="0.2">
      <c r="C206" s="12"/>
      <c r="D206" s="13"/>
      <c r="E206" s="14"/>
      <c r="G206" s="16"/>
      <c r="H206" s="16"/>
      <c r="I206" s="16"/>
      <c r="M206" s="17"/>
      <c r="P206" s="8"/>
    </row>
    <row r="207" spans="3:16" ht="15.75" customHeight="1" x14ac:dyDescent="0.2">
      <c r="C207" s="12"/>
      <c r="D207" s="13"/>
      <c r="E207" s="14"/>
      <c r="G207" s="16"/>
      <c r="H207" s="16"/>
      <c r="I207" s="16"/>
      <c r="M207" s="17"/>
      <c r="P207" s="8"/>
    </row>
    <row r="208" spans="3:16" ht="15.75" customHeight="1" x14ac:dyDescent="0.2">
      <c r="C208" s="12"/>
      <c r="D208" s="13"/>
      <c r="E208" s="14"/>
      <c r="G208" s="16"/>
      <c r="H208" s="16"/>
      <c r="I208" s="16"/>
      <c r="M208" s="17"/>
      <c r="P208" s="8"/>
    </row>
    <row r="209" spans="3:16" ht="15.75" customHeight="1" x14ac:dyDescent="0.2">
      <c r="C209" s="12"/>
      <c r="D209" s="13"/>
      <c r="E209" s="14"/>
      <c r="G209" s="16"/>
      <c r="H209" s="16"/>
      <c r="I209" s="16"/>
      <c r="M209" s="17"/>
      <c r="P209" s="8"/>
    </row>
    <row r="210" spans="3:16" ht="15.75" customHeight="1" x14ac:dyDescent="0.2">
      <c r="C210" s="12"/>
      <c r="D210" s="13"/>
      <c r="E210" s="14"/>
      <c r="G210" s="16"/>
      <c r="H210" s="16"/>
      <c r="I210" s="16"/>
      <c r="M210" s="17"/>
      <c r="P210" s="8"/>
    </row>
    <row r="211" spans="3:16" ht="15.75" customHeight="1" x14ac:dyDescent="0.2">
      <c r="C211" s="12"/>
      <c r="D211" s="13"/>
      <c r="E211" s="14"/>
      <c r="G211" s="16"/>
      <c r="H211" s="16"/>
      <c r="I211" s="16"/>
      <c r="M211" s="17"/>
      <c r="P211" s="8"/>
    </row>
    <row r="212" spans="3:16" ht="15.75" customHeight="1" x14ac:dyDescent="0.2">
      <c r="C212" s="12"/>
      <c r="D212" s="13"/>
      <c r="E212" s="14"/>
      <c r="G212" s="16"/>
      <c r="H212" s="16"/>
      <c r="I212" s="16"/>
      <c r="M212" s="17"/>
      <c r="P212" s="8"/>
    </row>
    <row r="213" spans="3:16" ht="15.75" customHeight="1" x14ac:dyDescent="0.2">
      <c r="C213" s="12"/>
      <c r="D213" s="13"/>
      <c r="E213" s="14"/>
      <c r="G213" s="16"/>
      <c r="H213" s="16"/>
      <c r="I213" s="16"/>
      <c r="M213" s="17"/>
      <c r="P213" s="8"/>
    </row>
    <row r="214" spans="3:16" ht="15.75" customHeight="1" x14ac:dyDescent="0.2">
      <c r="C214" s="12"/>
      <c r="D214" s="13"/>
      <c r="E214" s="14"/>
      <c r="G214" s="16"/>
      <c r="H214" s="16"/>
      <c r="I214" s="16"/>
      <c r="M214" s="17"/>
      <c r="P214" s="8"/>
    </row>
    <row r="215" spans="3:16" ht="15.75" customHeight="1" x14ac:dyDescent="0.2">
      <c r="C215" s="12"/>
      <c r="D215" s="13"/>
      <c r="E215" s="14"/>
      <c r="G215" s="16"/>
      <c r="H215" s="16"/>
      <c r="I215" s="16"/>
      <c r="M215" s="17"/>
      <c r="P215" s="8"/>
    </row>
    <row r="216" spans="3:16" ht="15.75" customHeight="1" x14ac:dyDescent="0.2">
      <c r="C216" s="12"/>
      <c r="D216" s="13"/>
      <c r="E216" s="14"/>
      <c r="G216" s="16"/>
      <c r="H216" s="16"/>
      <c r="I216" s="16"/>
      <c r="M216" s="17"/>
      <c r="P216" s="8"/>
    </row>
    <row r="217" spans="3:16" ht="15.75" customHeight="1" x14ac:dyDescent="0.2">
      <c r="C217" s="12"/>
      <c r="D217" s="13"/>
      <c r="E217" s="14"/>
      <c r="G217" s="16"/>
      <c r="H217" s="16"/>
      <c r="I217" s="16"/>
      <c r="M217" s="17"/>
      <c r="P217" s="8"/>
    </row>
    <row r="218" spans="3:16" ht="15.75" customHeight="1" x14ac:dyDescent="0.2">
      <c r="C218" s="12"/>
      <c r="D218" s="13"/>
      <c r="E218" s="14"/>
      <c r="G218" s="16"/>
      <c r="H218" s="16"/>
      <c r="I218" s="16"/>
      <c r="M218" s="17"/>
      <c r="P218" s="8"/>
    </row>
    <row r="219" spans="3:16" ht="15.75" customHeight="1" x14ac:dyDescent="0.2">
      <c r="C219" s="12"/>
      <c r="D219" s="13"/>
      <c r="E219" s="14"/>
      <c r="G219" s="16"/>
      <c r="H219" s="16"/>
      <c r="I219" s="16"/>
      <c r="M219" s="17"/>
      <c r="P219" s="8"/>
    </row>
    <row r="220" spans="3:16" ht="15.75" customHeight="1" x14ac:dyDescent="0.2">
      <c r="C220" s="12"/>
      <c r="D220" s="13"/>
      <c r="E220" s="14"/>
      <c r="G220" s="16"/>
      <c r="H220" s="16"/>
      <c r="I220" s="16"/>
      <c r="M220" s="17"/>
      <c r="P220" s="8"/>
    </row>
    <row r="221" spans="3:16" ht="15.75" customHeight="1" x14ac:dyDescent="0.2">
      <c r="C221" s="12"/>
      <c r="D221" s="13"/>
      <c r="E221" s="14"/>
      <c r="G221" s="16"/>
      <c r="H221" s="16"/>
      <c r="I221" s="16"/>
      <c r="M221" s="17"/>
      <c r="P221" s="8"/>
    </row>
    <row r="222" spans="3:16" ht="15.75" customHeight="1" x14ac:dyDescent="0.2">
      <c r="C222" s="12"/>
      <c r="D222" s="13"/>
      <c r="E222" s="14"/>
      <c r="G222" s="16"/>
      <c r="H222" s="16"/>
      <c r="I222" s="16"/>
      <c r="M222" s="17"/>
      <c r="P222" s="8"/>
    </row>
    <row r="223" spans="3:16" ht="15.75" customHeight="1" x14ac:dyDescent="0.2">
      <c r="C223" s="12"/>
      <c r="D223" s="13"/>
      <c r="E223" s="14"/>
      <c r="G223" s="16"/>
      <c r="H223" s="16"/>
      <c r="I223" s="16"/>
      <c r="M223" s="17"/>
      <c r="P223" s="8"/>
    </row>
    <row r="224" spans="3:16" ht="15.75" customHeight="1" x14ac:dyDescent="0.2">
      <c r="C224" s="12"/>
      <c r="D224" s="13"/>
      <c r="E224" s="14"/>
      <c r="G224" s="16"/>
      <c r="H224" s="16"/>
      <c r="I224" s="16"/>
      <c r="M224" s="17"/>
      <c r="P224" s="8"/>
    </row>
    <row r="225" spans="3:16" ht="15.75" customHeight="1" x14ac:dyDescent="0.2">
      <c r="C225" s="12"/>
      <c r="D225" s="13"/>
      <c r="E225" s="14"/>
      <c r="G225" s="16"/>
      <c r="H225" s="16"/>
      <c r="I225" s="16"/>
      <c r="M225" s="17"/>
      <c r="P225" s="8"/>
    </row>
    <row r="226" spans="3:16" ht="15.75" customHeight="1" x14ac:dyDescent="0.2">
      <c r="C226" s="12"/>
      <c r="D226" s="13"/>
      <c r="E226" s="14"/>
      <c r="G226" s="16"/>
      <c r="H226" s="16"/>
      <c r="I226" s="16"/>
      <c r="M226" s="17"/>
      <c r="P226" s="8"/>
    </row>
    <row r="227" spans="3:16" ht="15.75" customHeight="1" x14ac:dyDescent="0.2">
      <c r="C227" s="12"/>
      <c r="D227" s="13"/>
      <c r="E227" s="14"/>
      <c r="G227" s="16"/>
      <c r="H227" s="16"/>
      <c r="I227" s="16"/>
      <c r="M227" s="17"/>
      <c r="P227" s="8"/>
    </row>
    <row r="228" spans="3:16" ht="15.75" customHeight="1" x14ac:dyDescent="0.2">
      <c r="C228" s="12"/>
      <c r="D228" s="13"/>
      <c r="E228" s="14"/>
      <c r="G228" s="16"/>
      <c r="H228" s="16"/>
      <c r="I228" s="16"/>
      <c r="M228" s="17"/>
      <c r="P228" s="8"/>
    </row>
    <row r="229" spans="3:16" ht="15.75" customHeight="1" x14ac:dyDescent="0.2">
      <c r="C229" s="12"/>
      <c r="D229" s="13"/>
      <c r="E229" s="14"/>
      <c r="G229" s="16"/>
      <c r="H229" s="16"/>
      <c r="I229" s="16"/>
      <c r="M229" s="17"/>
      <c r="P229" s="8"/>
    </row>
    <row r="230" spans="3:16" ht="15.75" customHeight="1" x14ac:dyDescent="0.2">
      <c r="C230" s="12"/>
      <c r="D230" s="13"/>
      <c r="E230" s="14"/>
      <c r="G230" s="16"/>
      <c r="H230" s="16"/>
      <c r="I230" s="16"/>
      <c r="M230" s="17"/>
      <c r="P230" s="8"/>
    </row>
    <row r="231" spans="3:16" ht="15.75" customHeight="1" x14ac:dyDescent="0.2">
      <c r="C231" s="12"/>
      <c r="D231" s="13"/>
      <c r="E231" s="14"/>
      <c r="G231" s="16"/>
      <c r="H231" s="16"/>
      <c r="I231" s="16"/>
      <c r="M231" s="17"/>
      <c r="P231" s="8"/>
    </row>
    <row r="232" spans="3:16" ht="15.75" customHeight="1" x14ac:dyDescent="0.2">
      <c r="C232" s="12"/>
      <c r="D232" s="13"/>
      <c r="E232" s="14"/>
      <c r="G232" s="16"/>
      <c r="H232" s="16"/>
      <c r="I232" s="16"/>
      <c r="M232" s="17"/>
      <c r="P232" s="8"/>
    </row>
    <row r="233" spans="3:16" ht="15.75" customHeight="1" x14ac:dyDescent="0.2">
      <c r="C233" s="12"/>
      <c r="D233" s="13"/>
      <c r="E233" s="14"/>
      <c r="G233" s="16"/>
      <c r="H233" s="16"/>
      <c r="I233" s="16"/>
      <c r="M233" s="17"/>
      <c r="P233" s="8"/>
    </row>
    <row r="234" spans="3:16" ht="15.75" customHeight="1" x14ac:dyDescent="0.2">
      <c r="C234" s="12"/>
      <c r="D234" s="13"/>
      <c r="E234" s="14"/>
      <c r="G234" s="16"/>
      <c r="H234" s="16"/>
      <c r="I234" s="16"/>
      <c r="M234" s="17"/>
      <c r="P234" s="8"/>
    </row>
    <row r="235" spans="3:16" ht="15.75" customHeight="1" x14ac:dyDescent="0.2">
      <c r="C235" s="12"/>
      <c r="D235" s="13"/>
      <c r="E235" s="14"/>
      <c r="G235" s="16"/>
      <c r="H235" s="16"/>
      <c r="I235" s="16"/>
      <c r="M235" s="17"/>
      <c r="P235" s="8"/>
    </row>
    <row r="236" spans="3:16" ht="15.75" customHeight="1" x14ac:dyDescent="0.2">
      <c r="C236" s="12"/>
      <c r="D236" s="13"/>
      <c r="E236" s="14"/>
      <c r="G236" s="16"/>
      <c r="H236" s="16"/>
      <c r="I236" s="16"/>
      <c r="M236" s="17"/>
      <c r="P236" s="8"/>
    </row>
    <row r="237" spans="3:16" ht="15.75" customHeight="1" x14ac:dyDescent="0.2">
      <c r="C237" s="12"/>
      <c r="D237" s="13"/>
      <c r="E237" s="14"/>
      <c r="G237" s="16"/>
      <c r="H237" s="16"/>
      <c r="I237" s="16"/>
      <c r="M237" s="17"/>
      <c r="P237" s="8"/>
    </row>
    <row r="238" spans="3:16" ht="15.75" customHeight="1" x14ac:dyDescent="0.2">
      <c r="C238" s="12"/>
      <c r="D238" s="13"/>
      <c r="E238" s="14"/>
      <c r="G238" s="16"/>
      <c r="H238" s="16"/>
      <c r="I238" s="16"/>
      <c r="M238" s="17"/>
      <c r="P238" s="8"/>
    </row>
    <row r="239" spans="3:16" ht="15.75" customHeight="1" x14ac:dyDescent="0.2">
      <c r="C239" s="12"/>
      <c r="D239" s="13"/>
      <c r="E239" s="14"/>
      <c r="G239" s="16"/>
      <c r="H239" s="16"/>
      <c r="I239" s="16"/>
      <c r="M239" s="17"/>
      <c r="P239" s="8"/>
    </row>
    <row r="240" spans="3:16" ht="15.75" customHeight="1" x14ac:dyDescent="0.2">
      <c r="C240" s="12"/>
      <c r="D240" s="13"/>
      <c r="E240" s="14"/>
      <c r="G240" s="16"/>
      <c r="H240" s="16"/>
      <c r="I240" s="16"/>
      <c r="M240" s="17"/>
      <c r="P240" s="8"/>
    </row>
    <row r="241" spans="3:16" ht="15.75" customHeight="1" x14ac:dyDescent="0.2">
      <c r="C241" s="12"/>
      <c r="D241" s="13"/>
      <c r="E241" s="14"/>
      <c r="G241" s="16"/>
      <c r="H241" s="16"/>
      <c r="I241" s="16"/>
      <c r="M241" s="17"/>
      <c r="P241" s="8"/>
    </row>
    <row r="242" spans="3:16" ht="15.75" customHeight="1" x14ac:dyDescent="0.2">
      <c r="C242" s="12"/>
      <c r="D242" s="13"/>
      <c r="E242" s="14"/>
      <c r="G242" s="16"/>
      <c r="H242" s="16"/>
      <c r="I242" s="16"/>
      <c r="M242" s="17"/>
      <c r="P242" s="8"/>
    </row>
    <row r="243" spans="3:16" ht="15.75" customHeight="1" x14ac:dyDescent="0.2">
      <c r="C243" s="12"/>
      <c r="D243" s="13"/>
      <c r="E243" s="14"/>
      <c r="G243" s="16"/>
      <c r="H243" s="16"/>
      <c r="I243" s="16"/>
      <c r="M243" s="17"/>
      <c r="P243" s="8"/>
    </row>
    <row r="244" spans="3:16" ht="15.75" customHeight="1" x14ac:dyDescent="0.2">
      <c r="C244" s="12"/>
      <c r="D244" s="13"/>
      <c r="E244" s="14"/>
      <c r="G244" s="16"/>
      <c r="H244" s="16"/>
      <c r="I244" s="16"/>
      <c r="M244" s="17"/>
      <c r="P244" s="8"/>
    </row>
    <row r="245" spans="3:16" ht="15.75" customHeight="1" x14ac:dyDescent="0.2">
      <c r="C245" s="12"/>
      <c r="D245" s="13"/>
      <c r="E245" s="14"/>
      <c r="G245" s="16"/>
      <c r="H245" s="16"/>
      <c r="I245" s="16"/>
      <c r="M245" s="17"/>
      <c r="P245" s="8"/>
    </row>
    <row r="246" spans="3:16" ht="15.75" customHeight="1" x14ac:dyDescent="0.2">
      <c r="C246" s="12"/>
      <c r="D246" s="13"/>
      <c r="E246" s="14"/>
      <c r="G246" s="16"/>
      <c r="H246" s="16"/>
      <c r="I246" s="16"/>
      <c r="M246" s="17"/>
      <c r="P246" s="8"/>
    </row>
    <row r="247" spans="3:16" ht="15.75" customHeight="1" x14ac:dyDescent="0.2">
      <c r="C247" s="12"/>
      <c r="D247" s="13"/>
      <c r="E247" s="14"/>
      <c r="G247" s="16"/>
      <c r="H247" s="16"/>
      <c r="I247" s="16"/>
      <c r="M247" s="17"/>
      <c r="P247" s="8"/>
    </row>
    <row r="248" spans="3:16" ht="15.75" customHeight="1" x14ac:dyDescent="0.2">
      <c r="C248" s="12"/>
      <c r="D248" s="13"/>
      <c r="E248" s="14"/>
      <c r="G248" s="16"/>
      <c r="H248" s="16"/>
      <c r="I248" s="16"/>
      <c r="M248" s="17"/>
      <c r="P248" s="8"/>
    </row>
    <row r="249" spans="3:16" ht="15.75" customHeight="1" x14ac:dyDescent="0.2">
      <c r="C249" s="12"/>
      <c r="D249" s="13"/>
      <c r="E249" s="14"/>
      <c r="G249" s="16"/>
      <c r="H249" s="16"/>
      <c r="I249" s="16"/>
      <c r="M249" s="17"/>
      <c r="P249" s="8"/>
    </row>
    <row r="250" spans="3:16" ht="15.75" customHeight="1" x14ac:dyDescent="0.2">
      <c r="C250" s="12"/>
      <c r="D250" s="13"/>
      <c r="E250" s="14"/>
      <c r="G250" s="16"/>
      <c r="H250" s="16"/>
      <c r="I250" s="16"/>
      <c r="M250" s="17"/>
      <c r="P250" s="8"/>
    </row>
    <row r="251" spans="3:16" ht="15.75" customHeight="1" x14ac:dyDescent="0.2">
      <c r="C251" s="12"/>
      <c r="D251" s="13"/>
      <c r="E251" s="14"/>
      <c r="G251" s="16"/>
      <c r="H251" s="16"/>
      <c r="I251" s="16"/>
      <c r="M251" s="17"/>
      <c r="P251" s="8"/>
    </row>
    <row r="252" spans="3:16" ht="15.75" customHeight="1" x14ac:dyDescent="0.2">
      <c r="C252" s="12"/>
      <c r="D252" s="13"/>
      <c r="E252" s="14"/>
      <c r="G252" s="16"/>
      <c r="H252" s="16"/>
      <c r="I252" s="16"/>
      <c r="M252" s="17"/>
      <c r="P252" s="8"/>
    </row>
    <row r="253" spans="3:16" ht="15.75" customHeight="1" x14ac:dyDescent="0.2">
      <c r="C253" s="12"/>
      <c r="D253" s="13"/>
      <c r="E253" s="14"/>
      <c r="G253" s="16"/>
      <c r="H253" s="16"/>
      <c r="I253" s="16"/>
      <c r="M253" s="17"/>
      <c r="P253" s="8"/>
    </row>
    <row r="254" spans="3:16" ht="15.75" customHeight="1" x14ac:dyDescent="0.2">
      <c r="C254" s="12"/>
      <c r="D254" s="13"/>
      <c r="E254" s="14"/>
      <c r="G254" s="16"/>
      <c r="H254" s="16"/>
      <c r="I254" s="16"/>
      <c r="M254" s="17"/>
      <c r="P254" s="8"/>
    </row>
    <row r="255" spans="3:16" ht="15.75" customHeight="1" x14ac:dyDescent="0.2">
      <c r="C255" s="12"/>
      <c r="D255" s="13"/>
      <c r="E255" s="14"/>
      <c r="G255" s="16"/>
      <c r="H255" s="16"/>
      <c r="I255" s="16"/>
      <c r="M255" s="17"/>
      <c r="P255" s="8"/>
    </row>
    <row r="256" spans="3:16" ht="15.75" customHeight="1" x14ac:dyDescent="0.2">
      <c r="C256" s="12"/>
      <c r="D256" s="13"/>
      <c r="E256" s="14"/>
      <c r="G256" s="16"/>
      <c r="H256" s="16"/>
      <c r="I256" s="16"/>
      <c r="M256" s="17"/>
      <c r="P256" s="8"/>
    </row>
    <row r="257" spans="3:16" ht="15.75" customHeight="1" x14ac:dyDescent="0.2">
      <c r="C257" s="12"/>
      <c r="D257" s="13"/>
      <c r="E257" s="14"/>
      <c r="G257" s="16"/>
      <c r="H257" s="16"/>
      <c r="I257" s="16"/>
      <c r="M257" s="17"/>
      <c r="P257" s="8"/>
    </row>
    <row r="258" spans="3:16" ht="15.75" customHeight="1" x14ac:dyDescent="0.2">
      <c r="C258" s="12"/>
      <c r="D258" s="13"/>
      <c r="E258" s="14"/>
      <c r="G258" s="16"/>
      <c r="H258" s="16"/>
      <c r="I258" s="16"/>
      <c r="M258" s="17"/>
      <c r="P258" s="8"/>
    </row>
    <row r="259" spans="3:16" ht="15.75" customHeight="1" x14ac:dyDescent="0.2">
      <c r="C259" s="12"/>
      <c r="D259" s="13"/>
      <c r="E259" s="14"/>
      <c r="G259" s="16"/>
      <c r="H259" s="16"/>
      <c r="I259" s="16"/>
      <c r="M259" s="17"/>
      <c r="P259" s="8"/>
    </row>
    <row r="260" spans="3:16" ht="15.75" customHeight="1" x14ac:dyDescent="0.2">
      <c r="C260" s="12"/>
      <c r="D260" s="13"/>
      <c r="E260" s="14"/>
      <c r="G260" s="16"/>
      <c r="H260" s="16"/>
      <c r="I260" s="16"/>
      <c r="M260" s="17"/>
      <c r="P260" s="8"/>
    </row>
    <row r="261" spans="3:16" ht="15.75" customHeight="1" x14ac:dyDescent="0.2">
      <c r="C261" s="12"/>
      <c r="D261" s="13"/>
      <c r="E261" s="14"/>
      <c r="G261" s="16"/>
      <c r="H261" s="16"/>
      <c r="I261" s="16"/>
      <c r="M261" s="17"/>
      <c r="P261" s="8"/>
    </row>
    <row r="262" spans="3:16" ht="15.75" customHeight="1" x14ac:dyDescent="0.2">
      <c r="C262" s="12"/>
      <c r="D262" s="13"/>
      <c r="E262" s="14"/>
      <c r="G262" s="16"/>
      <c r="H262" s="16"/>
      <c r="I262" s="16"/>
      <c r="M262" s="17"/>
      <c r="P262" s="8"/>
    </row>
    <row r="263" spans="3:16" ht="15.75" customHeight="1" x14ac:dyDescent="0.2">
      <c r="C263" s="12"/>
      <c r="D263" s="13"/>
      <c r="E263" s="14"/>
      <c r="G263" s="16"/>
      <c r="H263" s="16"/>
      <c r="I263" s="16"/>
      <c r="M263" s="17"/>
      <c r="P263" s="8"/>
    </row>
    <row r="264" spans="3:16" ht="15.75" customHeight="1" x14ac:dyDescent="0.2">
      <c r="C264" s="12"/>
      <c r="D264" s="13"/>
      <c r="E264" s="14"/>
      <c r="G264" s="16"/>
      <c r="H264" s="16"/>
      <c r="I264" s="16"/>
      <c r="M264" s="17"/>
      <c r="P264" s="8"/>
    </row>
    <row r="265" spans="3:16" ht="15.75" customHeight="1" x14ac:dyDescent="0.2">
      <c r="C265" s="12"/>
      <c r="D265" s="13"/>
      <c r="E265" s="14"/>
      <c r="G265" s="16"/>
      <c r="H265" s="16"/>
      <c r="I265" s="16"/>
      <c r="M265" s="17"/>
      <c r="P265" s="8"/>
    </row>
    <row r="266" spans="3:16" ht="15.75" customHeight="1" x14ac:dyDescent="0.2">
      <c r="C266" s="12"/>
      <c r="D266" s="13"/>
      <c r="E266" s="14"/>
      <c r="G266" s="16"/>
      <c r="H266" s="16"/>
      <c r="I266" s="16"/>
      <c r="M266" s="17"/>
      <c r="P266" s="8"/>
    </row>
    <row r="267" spans="3:16" ht="15.75" customHeight="1" x14ac:dyDescent="0.2">
      <c r="C267" s="12"/>
      <c r="D267" s="13"/>
      <c r="E267" s="14"/>
      <c r="G267" s="16"/>
      <c r="H267" s="16"/>
      <c r="I267" s="16"/>
      <c r="M267" s="17"/>
      <c r="P267" s="8"/>
    </row>
    <row r="268" spans="3:16" ht="15.75" customHeight="1" x14ac:dyDescent="0.2">
      <c r="C268" s="12"/>
      <c r="D268" s="13"/>
      <c r="E268" s="14"/>
      <c r="G268" s="16"/>
      <c r="H268" s="16"/>
      <c r="I268" s="16"/>
      <c r="M268" s="17"/>
      <c r="P268" s="8"/>
    </row>
    <row r="269" spans="3:16" ht="15.75" customHeight="1" x14ac:dyDescent="0.2">
      <c r="C269" s="12"/>
      <c r="D269" s="13"/>
      <c r="E269" s="14"/>
      <c r="G269" s="16"/>
      <c r="H269" s="16"/>
      <c r="I269" s="16"/>
      <c r="M269" s="17"/>
      <c r="P269" s="8"/>
    </row>
    <row r="270" spans="3:16" ht="15.75" customHeight="1" x14ac:dyDescent="0.2">
      <c r="C270" s="12"/>
      <c r="D270" s="13"/>
      <c r="E270" s="14"/>
      <c r="G270" s="16"/>
      <c r="H270" s="16"/>
      <c r="I270" s="16"/>
      <c r="M270" s="17"/>
      <c r="P270" s="8"/>
    </row>
    <row r="271" spans="3:16" ht="15.75" customHeight="1" x14ac:dyDescent="0.2">
      <c r="C271" s="12"/>
      <c r="D271" s="13"/>
      <c r="E271" s="14"/>
      <c r="G271" s="16"/>
      <c r="H271" s="16"/>
      <c r="I271" s="16"/>
      <c r="M271" s="17"/>
      <c r="P271" s="8"/>
    </row>
    <row r="272" spans="3:16" ht="15.75" customHeight="1" x14ac:dyDescent="0.2">
      <c r="C272" s="12"/>
      <c r="D272" s="13"/>
      <c r="E272" s="14"/>
      <c r="G272" s="16"/>
      <c r="H272" s="16"/>
      <c r="I272" s="16"/>
      <c r="M272" s="17"/>
      <c r="P272" s="8"/>
    </row>
    <row r="273" spans="3:16" ht="15.75" customHeight="1" x14ac:dyDescent="0.2">
      <c r="C273" s="12"/>
      <c r="D273" s="13"/>
      <c r="E273" s="14"/>
      <c r="G273" s="16"/>
      <c r="H273" s="16"/>
      <c r="I273" s="16"/>
      <c r="M273" s="17"/>
      <c r="P273" s="8"/>
    </row>
    <row r="274" spans="3:16" ht="15.75" customHeight="1" x14ac:dyDescent="0.2">
      <c r="C274" s="12"/>
      <c r="D274" s="13"/>
      <c r="E274" s="14"/>
      <c r="G274" s="16"/>
      <c r="H274" s="16"/>
      <c r="I274" s="16"/>
      <c r="M274" s="17"/>
      <c r="P274" s="8"/>
    </row>
    <row r="275" spans="3:16" ht="15.75" customHeight="1" x14ac:dyDescent="0.2">
      <c r="C275" s="12"/>
      <c r="D275" s="13"/>
      <c r="E275" s="14"/>
      <c r="G275" s="16"/>
      <c r="H275" s="16"/>
      <c r="I275" s="16"/>
      <c r="M275" s="17"/>
      <c r="P275" s="8"/>
    </row>
    <row r="276" spans="3:16" ht="15.75" customHeight="1" x14ac:dyDescent="0.2">
      <c r="C276" s="12"/>
      <c r="D276" s="13"/>
      <c r="E276" s="14"/>
      <c r="G276" s="16"/>
      <c r="H276" s="16"/>
      <c r="I276" s="16"/>
      <c r="M276" s="17"/>
      <c r="P276" s="8"/>
    </row>
    <row r="277" spans="3:16" ht="15.75" customHeight="1" x14ac:dyDescent="0.2">
      <c r="C277" s="12"/>
      <c r="D277" s="13"/>
      <c r="E277" s="14"/>
      <c r="G277" s="16"/>
      <c r="H277" s="16"/>
      <c r="I277" s="16"/>
      <c r="M277" s="17"/>
      <c r="P277" s="8"/>
    </row>
    <row r="278" spans="3:16" ht="15.75" customHeight="1" x14ac:dyDescent="0.2">
      <c r="C278" s="12"/>
      <c r="D278" s="13"/>
      <c r="E278" s="14"/>
      <c r="G278" s="16"/>
      <c r="H278" s="16"/>
      <c r="I278" s="16"/>
      <c r="M278" s="17"/>
      <c r="P278" s="8"/>
    </row>
    <row r="279" spans="3:16" ht="15.75" customHeight="1" x14ac:dyDescent="0.2">
      <c r="C279" s="12"/>
      <c r="D279" s="13"/>
      <c r="E279" s="14"/>
      <c r="G279" s="16"/>
      <c r="H279" s="16"/>
      <c r="I279" s="16"/>
      <c r="M279" s="17"/>
      <c r="P279" s="8"/>
    </row>
    <row r="280" spans="3:16" ht="15.75" customHeight="1" x14ac:dyDescent="0.2">
      <c r="C280" s="12"/>
      <c r="D280" s="13"/>
      <c r="E280" s="14"/>
      <c r="G280" s="16"/>
      <c r="H280" s="16"/>
      <c r="I280" s="16"/>
      <c r="M280" s="17"/>
      <c r="P280" s="8"/>
    </row>
    <row r="281" spans="3:16" ht="15.75" customHeight="1" x14ac:dyDescent="0.2">
      <c r="C281" s="12"/>
      <c r="D281" s="13"/>
      <c r="E281" s="14"/>
      <c r="G281" s="16"/>
      <c r="H281" s="16"/>
      <c r="I281" s="16"/>
      <c r="M281" s="17"/>
      <c r="P281" s="8"/>
    </row>
    <row r="282" spans="3:16" ht="15.75" customHeight="1" x14ac:dyDescent="0.2">
      <c r="C282" s="12"/>
      <c r="D282" s="13"/>
      <c r="E282" s="14"/>
      <c r="G282" s="16"/>
      <c r="H282" s="16"/>
      <c r="I282" s="16"/>
      <c r="M282" s="17"/>
      <c r="P282" s="8"/>
    </row>
    <row r="283" spans="3:16" ht="15.75" customHeight="1" x14ac:dyDescent="0.2">
      <c r="C283" s="12"/>
      <c r="D283" s="13"/>
      <c r="E283" s="14"/>
      <c r="G283" s="16"/>
      <c r="H283" s="16"/>
      <c r="I283" s="16"/>
      <c r="M283" s="17"/>
      <c r="P283" s="8"/>
    </row>
    <row r="284" spans="3:16" ht="15.75" customHeight="1" x14ac:dyDescent="0.2">
      <c r="C284" s="12"/>
      <c r="D284" s="13"/>
      <c r="E284" s="14"/>
      <c r="G284" s="16"/>
      <c r="H284" s="16"/>
      <c r="I284" s="16"/>
      <c r="M284" s="17"/>
      <c r="P284" s="8"/>
    </row>
    <row r="285" spans="3:16" ht="15.75" customHeight="1" x14ac:dyDescent="0.2">
      <c r="C285" s="12"/>
      <c r="D285" s="13"/>
      <c r="E285" s="14"/>
      <c r="G285" s="16"/>
      <c r="H285" s="16"/>
      <c r="I285" s="16"/>
      <c r="M285" s="17"/>
      <c r="P285" s="8"/>
    </row>
    <row r="286" spans="3:16" ht="15.75" customHeight="1" x14ac:dyDescent="0.2">
      <c r="C286" s="12"/>
      <c r="D286" s="13"/>
      <c r="E286" s="14"/>
      <c r="G286" s="16"/>
      <c r="H286" s="16"/>
      <c r="I286" s="16"/>
      <c r="M286" s="17"/>
      <c r="P286" s="8"/>
    </row>
    <row r="287" spans="3:16" ht="15.75" customHeight="1" x14ac:dyDescent="0.2">
      <c r="C287" s="12"/>
      <c r="D287" s="13"/>
      <c r="E287" s="14"/>
      <c r="G287" s="16"/>
      <c r="H287" s="16"/>
      <c r="I287" s="16"/>
      <c r="M287" s="17"/>
      <c r="P287" s="8"/>
    </row>
    <row r="288" spans="3:16" ht="15.75" customHeight="1" x14ac:dyDescent="0.2">
      <c r="C288" s="12"/>
      <c r="D288" s="13"/>
      <c r="E288" s="14"/>
      <c r="G288" s="16"/>
      <c r="H288" s="16"/>
      <c r="I288" s="16"/>
      <c r="M288" s="17"/>
      <c r="P288" s="8"/>
    </row>
    <row r="289" spans="3:16" ht="15.75" customHeight="1" x14ac:dyDescent="0.2">
      <c r="C289" s="12"/>
      <c r="D289" s="13"/>
      <c r="E289" s="14"/>
      <c r="G289" s="16"/>
      <c r="H289" s="16"/>
      <c r="I289" s="16"/>
      <c r="M289" s="17"/>
      <c r="P289" s="8"/>
    </row>
    <row r="290" spans="3:16" ht="15.75" customHeight="1" x14ac:dyDescent="0.2">
      <c r="C290" s="12"/>
      <c r="D290" s="13"/>
      <c r="E290" s="14"/>
      <c r="G290" s="16"/>
      <c r="H290" s="16"/>
      <c r="I290" s="16"/>
      <c r="M290" s="17"/>
      <c r="P290" s="8"/>
    </row>
    <row r="291" spans="3:16" ht="15.75" customHeight="1" x14ac:dyDescent="0.2">
      <c r="C291" s="12"/>
      <c r="D291" s="13"/>
      <c r="E291" s="14"/>
      <c r="G291" s="16"/>
      <c r="H291" s="16"/>
      <c r="I291" s="16"/>
      <c r="M291" s="17"/>
      <c r="P291" s="8"/>
    </row>
    <row r="292" spans="3:16" ht="15.75" customHeight="1" x14ac:dyDescent="0.2">
      <c r="C292" s="12"/>
      <c r="D292" s="13"/>
      <c r="E292" s="14"/>
      <c r="G292" s="16"/>
      <c r="H292" s="16"/>
      <c r="I292" s="16"/>
      <c r="M292" s="17"/>
      <c r="P292" s="8"/>
    </row>
    <row r="293" spans="3:16" ht="15.75" customHeight="1" x14ac:dyDescent="0.2">
      <c r="C293" s="12"/>
      <c r="D293" s="13"/>
      <c r="E293" s="14"/>
      <c r="G293" s="16"/>
      <c r="H293" s="16"/>
      <c r="I293" s="16"/>
      <c r="M293" s="17"/>
      <c r="P293" s="8"/>
    </row>
    <row r="294" spans="3:16" ht="15.75" customHeight="1" x14ac:dyDescent="0.2">
      <c r="C294" s="12"/>
      <c r="D294" s="13"/>
      <c r="E294" s="14"/>
      <c r="G294" s="16"/>
      <c r="H294" s="16"/>
      <c r="I294" s="16"/>
      <c r="M294" s="17"/>
      <c r="P294" s="8"/>
    </row>
    <row r="295" spans="3:16" ht="15.75" customHeight="1" x14ac:dyDescent="0.2">
      <c r="C295" s="12"/>
      <c r="D295" s="13"/>
      <c r="E295" s="14"/>
      <c r="G295" s="16"/>
      <c r="H295" s="16"/>
      <c r="I295" s="16"/>
      <c r="M295" s="17"/>
      <c r="P295" s="8"/>
    </row>
    <row r="296" spans="3:16" ht="15.75" customHeight="1" x14ac:dyDescent="0.2">
      <c r="C296" s="12"/>
      <c r="D296" s="13"/>
      <c r="E296" s="14"/>
      <c r="G296" s="16"/>
      <c r="H296" s="16"/>
      <c r="I296" s="16"/>
      <c r="M296" s="17"/>
      <c r="P296" s="8"/>
    </row>
    <row r="297" spans="3:16" ht="15.75" customHeight="1" x14ac:dyDescent="0.2">
      <c r="C297" s="12"/>
      <c r="D297" s="13"/>
      <c r="E297" s="14"/>
      <c r="G297" s="16"/>
      <c r="H297" s="16"/>
      <c r="I297" s="16"/>
      <c r="M297" s="17"/>
      <c r="P297" s="8"/>
    </row>
    <row r="298" spans="3:16" ht="15.75" customHeight="1" x14ac:dyDescent="0.2">
      <c r="C298" s="12"/>
      <c r="D298" s="13"/>
      <c r="E298" s="14"/>
      <c r="G298" s="16"/>
      <c r="H298" s="16"/>
      <c r="I298" s="16"/>
      <c r="M298" s="17"/>
      <c r="P298" s="8"/>
    </row>
    <row r="299" spans="3:16" ht="15.75" customHeight="1" x14ac:dyDescent="0.2">
      <c r="C299" s="12"/>
      <c r="D299" s="13"/>
      <c r="E299" s="14"/>
      <c r="G299" s="16"/>
      <c r="H299" s="16"/>
      <c r="I299" s="16"/>
      <c r="M299" s="17"/>
      <c r="P299" s="8"/>
    </row>
    <row r="300" spans="3:16" ht="15.75" customHeight="1" x14ac:dyDescent="0.2">
      <c r="C300" s="12"/>
      <c r="D300" s="13"/>
      <c r="E300" s="14"/>
      <c r="G300" s="16"/>
      <c r="H300" s="16"/>
      <c r="I300" s="16"/>
      <c r="M300" s="17"/>
      <c r="P300" s="8"/>
    </row>
    <row r="301" spans="3:16" ht="15.75" customHeight="1" x14ac:dyDescent="0.2">
      <c r="C301" s="12"/>
      <c r="D301" s="13"/>
      <c r="E301" s="14"/>
      <c r="G301" s="16"/>
      <c r="H301" s="16"/>
      <c r="I301" s="16"/>
      <c r="M301" s="17"/>
      <c r="P301" s="8"/>
    </row>
    <row r="302" spans="3:16" ht="15.75" customHeight="1" x14ac:dyDescent="0.2">
      <c r="C302" s="12"/>
      <c r="D302" s="13"/>
      <c r="E302" s="14"/>
      <c r="G302" s="16"/>
      <c r="H302" s="16"/>
      <c r="I302" s="16"/>
      <c r="M302" s="17"/>
      <c r="P302" s="8"/>
    </row>
    <row r="303" spans="3:16" ht="15.75" customHeight="1" x14ac:dyDescent="0.2">
      <c r="C303" s="12"/>
      <c r="D303" s="13"/>
      <c r="E303" s="14"/>
      <c r="G303" s="16"/>
      <c r="H303" s="16"/>
      <c r="I303" s="16"/>
      <c r="M303" s="17"/>
      <c r="P303" s="8"/>
    </row>
    <row r="304" spans="3:16" ht="15.75" customHeight="1" x14ac:dyDescent="0.2">
      <c r="C304" s="12"/>
      <c r="D304" s="13"/>
      <c r="E304" s="14"/>
      <c r="G304" s="16"/>
      <c r="H304" s="16"/>
      <c r="I304" s="16"/>
      <c r="M304" s="17"/>
      <c r="P304" s="8"/>
    </row>
    <row r="305" spans="3:16" ht="15.75" customHeight="1" x14ac:dyDescent="0.2">
      <c r="C305" s="12"/>
      <c r="D305" s="13"/>
      <c r="E305" s="14"/>
      <c r="G305" s="16"/>
      <c r="H305" s="16"/>
      <c r="I305" s="16"/>
      <c r="M305" s="17"/>
      <c r="P305" s="8"/>
    </row>
    <row r="306" spans="3:16" ht="15.75" customHeight="1" x14ac:dyDescent="0.2">
      <c r="C306" s="12"/>
      <c r="D306" s="13"/>
      <c r="E306" s="14"/>
      <c r="G306" s="16"/>
      <c r="H306" s="16"/>
      <c r="I306" s="16"/>
      <c r="M306" s="17"/>
      <c r="P306" s="8"/>
    </row>
    <row r="307" spans="3:16" ht="15.75" customHeight="1" x14ac:dyDescent="0.2">
      <c r="C307" s="12"/>
      <c r="D307" s="13"/>
      <c r="E307" s="14"/>
      <c r="G307" s="16"/>
      <c r="H307" s="16"/>
      <c r="I307" s="16"/>
      <c r="M307" s="17"/>
      <c r="P307" s="8"/>
    </row>
    <row r="308" spans="3:16" ht="15.75" customHeight="1" x14ac:dyDescent="0.2">
      <c r="C308" s="12"/>
      <c r="D308" s="13"/>
      <c r="E308" s="14"/>
      <c r="G308" s="16"/>
      <c r="H308" s="16"/>
      <c r="I308" s="16"/>
      <c r="M308" s="17"/>
      <c r="P308" s="8"/>
    </row>
    <row r="309" spans="3:16" ht="15.75" customHeight="1" x14ac:dyDescent="0.2">
      <c r="C309" s="12"/>
      <c r="D309" s="13"/>
      <c r="E309" s="14"/>
      <c r="G309" s="16"/>
      <c r="H309" s="16"/>
      <c r="I309" s="16"/>
      <c r="M309" s="17"/>
      <c r="P309" s="8"/>
    </row>
    <row r="310" spans="3:16" ht="15.75" customHeight="1" x14ac:dyDescent="0.2">
      <c r="C310" s="12"/>
      <c r="D310" s="13"/>
      <c r="E310" s="14"/>
      <c r="G310" s="16"/>
      <c r="H310" s="16"/>
      <c r="I310" s="16"/>
      <c r="M310" s="17"/>
      <c r="P310" s="8"/>
    </row>
    <row r="311" spans="3:16" ht="15.75" customHeight="1" x14ac:dyDescent="0.2">
      <c r="C311" s="12"/>
      <c r="D311" s="13"/>
      <c r="E311" s="14"/>
      <c r="G311" s="16"/>
      <c r="H311" s="16"/>
      <c r="I311" s="16"/>
      <c r="M311" s="17"/>
      <c r="P311" s="8"/>
    </row>
    <row r="312" spans="3:16" ht="15.75" customHeight="1" x14ac:dyDescent="0.2">
      <c r="C312" s="12"/>
      <c r="D312" s="13"/>
      <c r="E312" s="14"/>
      <c r="G312" s="16"/>
      <c r="H312" s="16"/>
      <c r="I312" s="16"/>
      <c r="M312" s="17"/>
      <c r="P312" s="8"/>
    </row>
    <row r="313" spans="3:16" ht="15.75" customHeight="1" x14ac:dyDescent="0.2">
      <c r="C313" s="12"/>
      <c r="D313" s="13"/>
      <c r="E313" s="14"/>
      <c r="G313" s="16"/>
      <c r="H313" s="16"/>
      <c r="I313" s="16"/>
      <c r="M313" s="17"/>
      <c r="P313" s="8"/>
    </row>
    <row r="314" spans="3:16" ht="15.75" customHeight="1" x14ac:dyDescent="0.2">
      <c r="C314" s="12"/>
      <c r="D314" s="13"/>
      <c r="E314" s="14"/>
      <c r="G314" s="16"/>
      <c r="H314" s="16"/>
      <c r="I314" s="16"/>
      <c r="M314" s="17"/>
      <c r="P314" s="8"/>
    </row>
    <row r="315" spans="3:16" ht="15.75" customHeight="1" x14ac:dyDescent="0.2">
      <c r="C315" s="12"/>
      <c r="D315" s="13"/>
      <c r="E315" s="14"/>
      <c r="G315" s="16"/>
      <c r="H315" s="16"/>
      <c r="I315" s="16"/>
      <c r="M315" s="17"/>
      <c r="P315" s="8"/>
    </row>
    <row r="316" spans="3:16" ht="15.75" customHeight="1" x14ac:dyDescent="0.2">
      <c r="C316" s="12"/>
      <c r="D316" s="13"/>
      <c r="E316" s="14"/>
      <c r="G316" s="16"/>
      <c r="H316" s="16"/>
      <c r="I316" s="16"/>
      <c r="M316" s="17"/>
      <c r="P316" s="8"/>
    </row>
    <row r="317" spans="3:16" ht="15.75" customHeight="1" x14ac:dyDescent="0.2">
      <c r="C317" s="12"/>
      <c r="D317" s="13"/>
      <c r="E317" s="14"/>
      <c r="G317" s="16"/>
      <c r="H317" s="16"/>
      <c r="I317" s="16"/>
      <c r="M317" s="17"/>
      <c r="P317" s="8"/>
    </row>
    <row r="318" spans="3:16" ht="15.75" customHeight="1" x14ac:dyDescent="0.2">
      <c r="C318" s="12"/>
      <c r="D318" s="13"/>
      <c r="E318" s="14"/>
      <c r="G318" s="16"/>
      <c r="H318" s="16"/>
      <c r="I318" s="16"/>
      <c r="M318" s="17"/>
      <c r="P318" s="8"/>
    </row>
    <row r="319" spans="3:16" ht="15.75" customHeight="1" x14ac:dyDescent="0.2">
      <c r="C319" s="12"/>
      <c r="D319" s="13"/>
      <c r="E319" s="14"/>
      <c r="G319" s="16"/>
      <c r="H319" s="16"/>
      <c r="I319" s="16"/>
      <c r="M319" s="17"/>
      <c r="P319" s="8"/>
    </row>
    <row r="320" spans="3:16" ht="15.75" customHeight="1" x14ac:dyDescent="0.2">
      <c r="C320" s="12"/>
      <c r="D320" s="13"/>
      <c r="E320" s="14"/>
      <c r="G320" s="16"/>
      <c r="H320" s="16"/>
      <c r="I320" s="16"/>
      <c r="M320" s="17"/>
      <c r="P320" s="8"/>
    </row>
    <row r="321" spans="3:16" ht="15.75" customHeight="1" x14ac:dyDescent="0.2">
      <c r="C321" s="12"/>
      <c r="D321" s="13"/>
      <c r="E321" s="14"/>
      <c r="G321" s="16"/>
      <c r="H321" s="16"/>
      <c r="I321" s="16"/>
      <c r="M321" s="17"/>
      <c r="P321" s="8"/>
    </row>
    <row r="322" spans="3:16" ht="15.75" customHeight="1" x14ac:dyDescent="0.2">
      <c r="C322" s="12"/>
      <c r="D322" s="13"/>
      <c r="E322" s="14"/>
      <c r="G322" s="16"/>
      <c r="H322" s="16"/>
      <c r="I322" s="16"/>
      <c r="M322" s="17"/>
      <c r="P322" s="8"/>
    </row>
    <row r="323" spans="3:16" ht="15.75" customHeight="1" x14ac:dyDescent="0.2">
      <c r="C323" s="12"/>
      <c r="D323" s="13"/>
      <c r="E323" s="14"/>
      <c r="G323" s="16"/>
      <c r="H323" s="16"/>
      <c r="I323" s="16"/>
      <c r="M323" s="17"/>
      <c r="P323" s="8"/>
    </row>
    <row r="324" spans="3:16" ht="15.75" customHeight="1" x14ac:dyDescent="0.2">
      <c r="C324" s="12"/>
      <c r="D324" s="13"/>
      <c r="E324" s="14"/>
      <c r="G324" s="16"/>
      <c r="H324" s="16"/>
      <c r="I324" s="16"/>
      <c r="M324" s="17"/>
      <c r="P324" s="8"/>
    </row>
    <row r="325" spans="3:16" ht="15.75" customHeight="1" x14ac:dyDescent="0.2">
      <c r="C325" s="12"/>
      <c r="D325" s="13"/>
      <c r="E325" s="14"/>
      <c r="G325" s="16"/>
      <c r="H325" s="16"/>
      <c r="I325" s="16"/>
      <c r="M325" s="17"/>
      <c r="P325" s="8"/>
    </row>
    <row r="326" spans="3:16" ht="15.75" customHeight="1" x14ac:dyDescent="0.2">
      <c r="C326" s="12"/>
      <c r="D326" s="13"/>
      <c r="E326" s="14"/>
      <c r="G326" s="16"/>
      <c r="H326" s="16"/>
      <c r="I326" s="16"/>
      <c r="M326" s="17"/>
      <c r="P326" s="8"/>
    </row>
    <row r="327" spans="3:16" ht="15.75" customHeight="1" x14ac:dyDescent="0.2">
      <c r="C327" s="12"/>
      <c r="D327" s="13"/>
      <c r="E327" s="14"/>
      <c r="G327" s="16"/>
      <c r="H327" s="16"/>
      <c r="I327" s="16"/>
      <c r="M327" s="17"/>
      <c r="P327" s="8"/>
    </row>
    <row r="328" spans="3:16" ht="15.75" customHeight="1" x14ac:dyDescent="0.2">
      <c r="C328" s="12"/>
      <c r="D328" s="13"/>
      <c r="E328" s="14"/>
      <c r="G328" s="16"/>
      <c r="H328" s="16"/>
      <c r="I328" s="16"/>
      <c r="M328" s="17"/>
      <c r="P328" s="8"/>
    </row>
    <row r="329" spans="3:16" ht="15.75" customHeight="1" x14ac:dyDescent="0.2">
      <c r="C329" s="12"/>
      <c r="D329" s="13"/>
      <c r="E329" s="14"/>
      <c r="G329" s="16"/>
      <c r="H329" s="16"/>
      <c r="I329" s="16"/>
      <c r="M329" s="17"/>
      <c r="P329" s="8"/>
    </row>
    <row r="330" spans="3:16" ht="15.75" customHeight="1" x14ac:dyDescent="0.2">
      <c r="C330" s="12"/>
      <c r="D330" s="13"/>
      <c r="E330" s="14"/>
      <c r="G330" s="16"/>
      <c r="H330" s="16"/>
      <c r="I330" s="16"/>
      <c r="M330" s="17"/>
      <c r="P330" s="8"/>
    </row>
    <row r="331" spans="3:16" ht="15.75" customHeight="1" x14ac:dyDescent="0.2">
      <c r="C331" s="12"/>
      <c r="D331" s="13"/>
      <c r="E331" s="14"/>
      <c r="G331" s="16"/>
      <c r="H331" s="16"/>
      <c r="I331" s="16"/>
      <c r="M331" s="17"/>
      <c r="P331" s="8"/>
    </row>
    <row r="332" spans="3:16" ht="15.75" customHeight="1" x14ac:dyDescent="0.2">
      <c r="C332" s="12"/>
      <c r="D332" s="13"/>
      <c r="E332" s="14"/>
      <c r="G332" s="16"/>
      <c r="H332" s="16"/>
      <c r="I332" s="16"/>
      <c r="M332" s="17"/>
      <c r="P332" s="8"/>
    </row>
    <row r="333" spans="3:16" ht="15.75" customHeight="1" x14ac:dyDescent="0.2">
      <c r="C333" s="12"/>
      <c r="D333" s="13"/>
      <c r="E333" s="14"/>
      <c r="G333" s="16"/>
      <c r="H333" s="16"/>
      <c r="I333" s="16"/>
      <c r="M333" s="17"/>
      <c r="P333" s="8"/>
    </row>
    <row r="334" spans="3:16" ht="15.75" customHeight="1" x14ac:dyDescent="0.2">
      <c r="C334" s="12"/>
      <c r="D334" s="13"/>
      <c r="E334" s="14"/>
      <c r="G334" s="16"/>
      <c r="H334" s="16"/>
      <c r="I334" s="16"/>
      <c r="M334" s="17"/>
      <c r="P334" s="8"/>
    </row>
    <row r="335" spans="3:16" ht="15.75" customHeight="1" x14ac:dyDescent="0.2">
      <c r="C335" s="12"/>
      <c r="D335" s="13"/>
      <c r="E335" s="14"/>
      <c r="G335" s="16"/>
      <c r="H335" s="16"/>
      <c r="I335" s="16"/>
      <c r="M335" s="17"/>
      <c r="P335" s="8"/>
    </row>
    <row r="336" spans="3:16" ht="15.75" customHeight="1" x14ac:dyDescent="0.2">
      <c r="C336" s="12"/>
      <c r="D336" s="13"/>
      <c r="E336" s="14"/>
      <c r="G336" s="16"/>
      <c r="H336" s="16"/>
      <c r="I336" s="16"/>
      <c r="M336" s="17"/>
      <c r="P336" s="8"/>
    </row>
    <row r="337" spans="3:16" ht="15.75" customHeight="1" x14ac:dyDescent="0.2">
      <c r="C337" s="12"/>
      <c r="D337" s="13"/>
      <c r="E337" s="14"/>
      <c r="G337" s="16"/>
      <c r="H337" s="16"/>
      <c r="I337" s="16"/>
      <c r="M337" s="17"/>
      <c r="P337" s="8"/>
    </row>
    <row r="338" spans="3:16" ht="15.75" customHeight="1" x14ac:dyDescent="0.2">
      <c r="C338" s="12"/>
      <c r="D338" s="13"/>
      <c r="E338" s="14"/>
      <c r="G338" s="16"/>
      <c r="H338" s="16"/>
      <c r="I338" s="16"/>
      <c r="M338" s="17"/>
      <c r="P338" s="8"/>
    </row>
    <row r="339" spans="3:16" ht="15.75" customHeight="1" x14ac:dyDescent="0.2">
      <c r="C339" s="12"/>
      <c r="D339" s="13"/>
      <c r="E339" s="14"/>
      <c r="G339" s="16"/>
      <c r="H339" s="16"/>
      <c r="I339" s="16"/>
      <c r="M339" s="17"/>
      <c r="P339" s="8"/>
    </row>
    <row r="340" spans="3:16" ht="15.75" customHeight="1" x14ac:dyDescent="0.2">
      <c r="C340" s="12"/>
      <c r="D340" s="13"/>
      <c r="E340" s="14"/>
      <c r="G340" s="16"/>
      <c r="H340" s="16"/>
      <c r="I340" s="16"/>
      <c r="M340" s="17"/>
      <c r="P340" s="8"/>
    </row>
    <row r="341" spans="3:16" ht="15.75" customHeight="1" x14ac:dyDescent="0.2">
      <c r="C341" s="12"/>
      <c r="D341" s="13"/>
      <c r="E341" s="14"/>
      <c r="G341" s="16"/>
      <c r="H341" s="16"/>
      <c r="I341" s="16"/>
      <c r="M341" s="17"/>
      <c r="P341" s="8"/>
    </row>
    <row r="342" spans="3:16" ht="15.75" customHeight="1" x14ac:dyDescent="0.2">
      <c r="C342" s="12"/>
      <c r="D342" s="13"/>
      <c r="E342" s="14"/>
      <c r="G342" s="16"/>
      <c r="H342" s="16"/>
      <c r="I342" s="16"/>
      <c r="M342" s="17"/>
      <c r="P342" s="8"/>
    </row>
    <row r="343" spans="3:16" ht="15.75" customHeight="1" x14ac:dyDescent="0.2">
      <c r="C343" s="12"/>
      <c r="D343" s="13"/>
      <c r="E343" s="14"/>
      <c r="G343" s="16"/>
      <c r="H343" s="16"/>
      <c r="I343" s="16"/>
      <c r="M343" s="17"/>
      <c r="P343" s="8"/>
    </row>
    <row r="344" spans="3:16" ht="15.75" customHeight="1" x14ac:dyDescent="0.2">
      <c r="C344" s="12"/>
      <c r="D344" s="13"/>
      <c r="E344" s="14"/>
      <c r="G344" s="16"/>
      <c r="H344" s="16"/>
      <c r="I344" s="16"/>
      <c r="M344" s="17"/>
      <c r="P344" s="8"/>
    </row>
    <row r="345" spans="3:16" ht="15.75" customHeight="1" x14ac:dyDescent="0.2">
      <c r="C345" s="12"/>
      <c r="D345" s="13"/>
      <c r="E345" s="14"/>
      <c r="G345" s="16"/>
      <c r="H345" s="16"/>
      <c r="I345" s="16"/>
      <c r="M345" s="17"/>
      <c r="P345" s="8"/>
    </row>
    <row r="346" spans="3:16" ht="15.75" customHeight="1" x14ac:dyDescent="0.2">
      <c r="C346" s="12"/>
      <c r="D346" s="13"/>
      <c r="E346" s="14"/>
      <c r="G346" s="16"/>
      <c r="H346" s="16"/>
      <c r="I346" s="16"/>
      <c r="M346" s="17"/>
      <c r="P346" s="8"/>
    </row>
    <row r="347" spans="3:16" ht="15.75" customHeight="1" x14ac:dyDescent="0.2">
      <c r="C347" s="12"/>
      <c r="D347" s="13"/>
      <c r="E347" s="14"/>
      <c r="G347" s="16"/>
      <c r="H347" s="16"/>
      <c r="I347" s="16"/>
      <c r="M347" s="17"/>
      <c r="P347" s="8"/>
    </row>
    <row r="348" spans="3:16" ht="15.75" customHeight="1" x14ac:dyDescent="0.2">
      <c r="C348" s="12"/>
      <c r="D348" s="13"/>
      <c r="E348" s="14"/>
      <c r="G348" s="16"/>
      <c r="H348" s="16"/>
      <c r="I348" s="16"/>
      <c r="M348" s="17"/>
      <c r="P348" s="8"/>
    </row>
    <row r="349" spans="3:16" ht="15.75" customHeight="1" x14ac:dyDescent="0.2">
      <c r="C349" s="12"/>
      <c r="D349" s="13"/>
      <c r="E349" s="14"/>
      <c r="G349" s="16"/>
      <c r="H349" s="16"/>
      <c r="I349" s="16"/>
      <c r="M349" s="17"/>
      <c r="P349" s="8"/>
    </row>
    <row r="350" spans="3:16" ht="15.75" customHeight="1" x14ac:dyDescent="0.2">
      <c r="C350" s="12"/>
      <c r="D350" s="13"/>
      <c r="E350" s="14"/>
      <c r="G350" s="16"/>
      <c r="H350" s="16"/>
      <c r="I350" s="16"/>
      <c r="M350" s="17"/>
      <c r="P350" s="8"/>
    </row>
    <row r="351" spans="3:16" ht="15.75" customHeight="1" x14ac:dyDescent="0.2">
      <c r="C351" s="12"/>
      <c r="D351" s="13"/>
      <c r="E351" s="14"/>
      <c r="G351" s="16"/>
      <c r="H351" s="16"/>
      <c r="I351" s="16"/>
      <c r="M351" s="17"/>
      <c r="P351" s="8"/>
    </row>
    <row r="352" spans="3:16" ht="15.75" customHeight="1" x14ac:dyDescent="0.2">
      <c r="C352" s="12"/>
      <c r="D352" s="13"/>
      <c r="E352" s="14"/>
      <c r="G352" s="16"/>
      <c r="H352" s="16"/>
      <c r="I352" s="16"/>
      <c r="M352" s="17"/>
      <c r="P352" s="8"/>
    </row>
    <row r="353" spans="3:16" ht="15.75" customHeight="1" x14ac:dyDescent="0.2">
      <c r="C353" s="12"/>
      <c r="D353" s="13"/>
      <c r="E353" s="14"/>
      <c r="G353" s="16"/>
      <c r="H353" s="16"/>
      <c r="I353" s="16"/>
      <c r="M353" s="17"/>
      <c r="P353" s="8"/>
    </row>
    <row r="354" spans="3:16" ht="15.75" customHeight="1" x14ac:dyDescent="0.2">
      <c r="C354" s="12"/>
      <c r="D354" s="13"/>
      <c r="E354" s="14"/>
      <c r="G354" s="16"/>
      <c r="H354" s="16"/>
      <c r="I354" s="16"/>
      <c r="M354" s="17"/>
      <c r="P354" s="8"/>
    </row>
    <row r="355" spans="3:16" ht="15.75" customHeight="1" x14ac:dyDescent="0.2">
      <c r="C355" s="12"/>
      <c r="D355" s="13"/>
      <c r="E355" s="14"/>
      <c r="G355" s="16"/>
      <c r="H355" s="16"/>
      <c r="I355" s="16"/>
      <c r="M355" s="17"/>
      <c r="P355" s="8"/>
    </row>
    <row r="356" spans="3:16" ht="15.75" customHeight="1" x14ac:dyDescent="0.2">
      <c r="C356" s="12"/>
      <c r="D356" s="13"/>
      <c r="E356" s="14"/>
      <c r="G356" s="16"/>
      <c r="H356" s="16"/>
      <c r="I356" s="16"/>
      <c r="M356" s="17"/>
      <c r="P356" s="8"/>
    </row>
    <row r="357" spans="3:16" ht="15.75" customHeight="1" x14ac:dyDescent="0.2">
      <c r="C357" s="12"/>
      <c r="D357" s="13"/>
      <c r="E357" s="14"/>
      <c r="G357" s="16"/>
      <c r="H357" s="16"/>
      <c r="I357" s="16"/>
      <c r="M357" s="17"/>
      <c r="P357" s="8"/>
    </row>
    <row r="358" spans="3:16" ht="15.75" customHeight="1" x14ac:dyDescent="0.2">
      <c r="C358" s="12"/>
      <c r="D358" s="13"/>
      <c r="E358" s="14"/>
      <c r="G358" s="16"/>
      <c r="H358" s="16"/>
      <c r="I358" s="16"/>
      <c r="M358" s="17"/>
      <c r="P358" s="8"/>
    </row>
    <row r="359" spans="3:16" ht="15.75" customHeight="1" x14ac:dyDescent="0.2">
      <c r="C359" s="12"/>
      <c r="D359" s="13"/>
      <c r="E359" s="14"/>
      <c r="G359" s="16"/>
      <c r="H359" s="16"/>
      <c r="I359" s="16"/>
      <c r="M359" s="17"/>
      <c r="P359" s="8"/>
    </row>
    <row r="360" spans="3:16" ht="15.75" customHeight="1" x14ac:dyDescent="0.2">
      <c r="C360" s="12"/>
      <c r="D360" s="13"/>
      <c r="E360" s="14"/>
      <c r="G360" s="16"/>
      <c r="H360" s="16"/>
      <c r="I360" s="16"/>
      <c r="M360" s="17"/>
      <c r="P360" s="8"/>
    </row>
    <row r="361" spans="3:16" ht="15.75" customHeight="1" x14ac:dyDescent="0.2">
      <c r="C361" s="12"/>
      <c r="D361" s="13"/>
      <c r="E361" s="14"/>
      <c r="G361" s="16"/>
      <c r="H361" s="16"/>
      <c r="I361" s="16"/>
      <c r="M361" s="17"/>
      <c r="P361" s="8"/>
    </row>
    <row r="362" spans="3:16" ht="15.75" customHeight="1" x14ac:dyDescent="0.2">
      <c r="C362" s="12"/>
      <c r="D362" s="13"/>
      <c r="E362" s="14"/>
      <c r="G362" s="16"/>
      <c r="H362" s="16"/>
      <c r="I362" s="16"/>
      <c r="M362" s="17"/>
      <c r="P362" s="8"/>
    </row>
    <row r="363" spans="3:16" ht="15.75" customHeight="1" x14ac:dyDescent="0.2">
      <c r="C363" s="12"/>
      <c r="D363" s="13"/>
      <c r="E363" s="14"/>
      <c r="G363" s="16"/>
      <c r="H363" s="16"/>
      <c r="I363" s="16"/>
      <c r="M363" s="17"/>
      <c r="P363" s="8"/>
    </row>
    <row r="364" spans="3:16" ht="15.75" customHeight="1" x14ac:dyDescent="0.2">
      <c r="C364" s="12"/>
      <c r="D364" s="13"/>
      <c r="E364" s="14"/>
      <c r="G364" s="16"/>
      <c r="H364" s="16"/>
      <c r="I364" s="16"/>
      <c r="M364" s="17"/>
      <c r="P364" s="8"/>
    </row>
    <row r="365" spans="3:16" ht="15.75" customHeight="1" x14ac:dyDescent="0.2">
      <c r="C365" s="12"/>
      <c r="D365" s="13"/>
      <c r="E365" s="14"/>
      <c r="G365" s="16"/>
      <c r="H365" s="16"/>
      <c r="I365" s="16"/>
      <c r="M365" s="17"/>
      <c r="P365" s="8"/>
    </row>
    <row r="366" spans="3:16" ht="15.75" customHeight="1" x14ac:dyDescent="0.2">
      <c r="C366" s="12"/>
      <c r="D366" s="13"/>
      <c r="E366" s="14"/>
      <c r="G366" s="16"/>
      <c r="H366" s="16"/>
      <c r="I366" s="16"/>
      <c r="M366" s="17"/>
      <c r="P366" s="8"/>
    </row>
    <row r="367" spans="3:16" ht="15.75" customHeight="1" x14ac:dyDescent="0.2">
      <c r="C367" s="12"/>
      <c r="D367" s="13"/>
      <c r="E367" s="14"/>
      <c r="G367" s="16"/>
      <c r="H367" s="16"/>
      <c r="I367" s="16"/>
      <c r="M367" s="17"/>
      <c r="P367" s="8"/>
    </row>
    <row r="368" spans="3:16" ht="15.75" customHeight="1" x14ac:dyDescent="0.2">
      <c r="C368" s="12"/>
      <c r="D368" s="13"/>
      <c r="E368" s="14"/>
      <c r="G368" s="16"/>
      <c r="H368" s="16"/>
      <c r="I368" s="16"/>
      <c r="M368" s="17"/>
      <c r="P368" s="8"/>
    </row>
    <row r="369" spans="3:16" ht="15.75" customHeight="1" x14ac:dyDescent="0.2">
      <c r="C369" s="12"/>
      <c r="D369" s="13"/>
      <c r="E369" s="14"/>
      <c r="G369" s="16"/>
      <c r="H369" s="16"/>
      <c r="I369" s="16"/>
      <c r="M369" s="17"/>
      <c r="P369" s="8"/>
    </row>
    <row r="370" spans="3:16" ht="15.75" customHeight="1" x14ac:dyDescent="0.2">
      <c r="C370" s="12"/>
      <c r="D370" s="13"/>
      <c r="E370" s="14"/>
      <c r="G370" s="16"/>
      <c r="H370" s="16"/>
      <c r="I370" s="16"/>
      <c r="M370" s="17"/>
      <c r="P370" s="8"/>
    </row>
    <row r="371" spans="3:16" ht="15.75" customHeight="1" x14ac:dyDescent="0.2">
      <c r="C371" s="12"/>
      <c r="D371" s="13"/>
      <c r="E371" s="14"/>
      <c r="G371" s="16"/>
      <c r="H371" s="16"/>
      <c r="I371" s="16"/>
      <c r="M371" s="17"/>
      <c r="P371" s="8"/>
    </row>
    <row r="372" spans="3:16" ht="15.75" customHeight="1" x14ac:dyDescent="0.2">
      <c r="C372" s="12"/>
      <c r="D372" s="13"/>
      <c r="E372" s="14"/>
      <c r="G372" s="16"/>
      <c r="H372" s="16"/>
      <c r="I372" s="16"/>
      <c r="M372" s="17"/>
      <c r="P372" s="8"/>
    </row>
    <row r="373" spans="3:16" ht="15.75" customHeight="1" x14ac:dyDescent="0.2">
      <c r="C373" s="12"/>
      <c r="D373" s="13"/>
      <c r="E373" s="14"/>
      <c r="G373" s="16"/>
      <c r="H373" s="16"/>
      <c r="I373" s="16"/>
      <c r="M373" s="17"/>
      <c r="P373" s="8"/>
    </row>
    <row r="374" spans="3:16" ht="15.75" customHeight="1" x14ac:dyDescent="0.2">
      <c r="C374" s="12"/>
      <c r="D374" s="13"/>
      <c r="E374" s="14"/>
      <c r="G374" s="16"/>
      <c r="H374" s="16"/>
      <c r="I374" s="16"/>
      <c r="M374" s="17"/>
      <c r="P374" s="8"/>
    </row>
    <row r="375" spans="3:16" ht="15.75" customHeight="1" x14ac:dyDescent="0.2">
      <c r="C375" s="12"/>
      <c r="D375" s="13"/>
      <c r="E375" s="14"/>
      <c r="G375" s="16"/>
      <c r="H375" s="16"/>
      <c r="I375" s="16"/>
      <c r="M375" s="17"/>
      <c r="P375" s="8"/>
    </row>
    <row r="376" spans="3:16" ht="15.75" customHeight="1" x14ac:dyDescent="0.2">
      <c r="C376" s="12"/>
      <c r="D376" s="13"/>
      <c r="E376" s="14"/>
      <c r="G376" s="16"/>
      <c r="H376" s="16"/>
      <c r="I376" s="16"/>
      <c r="M376" s="17"/>
      <c r="P376" s="8"/>
    </row>
    <row r="377" spans="3:16" ht="15.75" customHeight="1" x14ac:dyDescent="0.2">
      <c r="C377" s="12"/>
      <c r="D377" s="13"/>
      <c r="E377" s="14"/>
      <c r="G377" s="16"/>
      <c r="H377" s="16"/>
      <c r="I377" s="16"/>
      <c r="M377" s="17"/>
      <c r="P377" s="8"/>
    </row>
    <row r="378" spans="3:16" ht="15.75" customHeight="1" x14ac:dyDescent="0.2">
      <c r="C378" s="12"/>
      <c r="D378" s="13"/>
      <c r="E378" s="14"/>
      <c r="G378" s="16"/>
      <c r="H378" s="16"/>
      <c r="I378" s="16"/>
      <c r="M378" s="17"/>
      <c r="P378" s="8"/>
    </row>
    <row r="379" spans="3:16" ht="15.75" customHeight="1" x14ac:dyDescent="0.2">
      <c r="C379" s="12"/>
      <c r="D379" s="13"/>
      <c r="E379" s="14"/>
      <c r="G379" s="16"/>
      <c r="H379" s="16"/>
      <c r="I379" s="16"/>
      <c r="M379" s="17"/>
      <c r="P379" s="8"/>
    </row>
    <row r="380" spans="3:16" ht="15.75" customHeight="1" x14ac:dyDescent="0.2">
      <c r="C380" s="12"/>
      <c r="D380" s="13"/>
      <c r="E380" s="14"/>
      <c r="G380" s="16"/>
      <c r="H380" s="16"/>
      <c r="I380" s="16"/>
      <c r="M380" s="17"/>
      <c r="P380" s="8"/>
    </row>
    <row r="381" spans="3:16" ht="15.75" customHeight="1" x14ac:dyDescent="0.2">
      <c r="C381" s="12"/>
      <c r="D381" s="13"/>
      <c r="E381" s="14"/>
      <c r="G381" s="16"/>
      <c r="H381" s="16"/>
      <c r="I381" s="16"/>
      <c r="M381" s="17"/>
      <c r="P381" s="8"/>
    </row>
    <row r="382" spans="3:16" ht="15.75" customHeight="1" x14ac:dyDescent="0.2">
      <c r="C382" s="12"/>
      <c r="D382" s="13"/>
      <c r="E382" s="14"/>
      <c r="G382" s="16"/>
      <c r="H382" s="16"/>
      <c r="I382" s="16"/>
      <c r="M382" s="17"/>
      <c r="P382" s="8"/>
    </row>
    <row r="383" spans="3:16" ht="15.75" customHeight="1" x14ac:dyDescent="0.2">
      <c r="C383" s="12"/>
      <c r="D383" s="13"/>
      <c r="E383" s="14"/>
      <c r="G383" s="16"/>
      <c r="H383" s="16"/>
      <c r="I383" s="16"/>
      <c r="M383" s="17"/>
      <c r="P383" s="8"/>
    </row>
    <row r="384" spans="3:16" ht="15.75" customHeight="1" x14ac:dyDescent="0.2">
      <c r="C384" s="12"/>
      <c r="D384" s="13"/>
      <c r="E384" s="14"/>
      <c r="G384" s="16"/>
      <c r="H384" s="16"/>
      <c r="I384" s="16"/>
      <c r="M384" s="17"/>
      <c r="P384" s="8"/>
    </row>
    <row r="385" spans="3:16" ht="15.75" customHeight="1" x14ac:dyDescent="0.2">
      <c r="C385" s="12"/>
      <c r="D385" s="13"/>
      <c r="E385" s="14"/>
      <c r="G385" s="16"/>
      <c r="H385" s="16"/>
      <c r="I385" s="16"/>
      <c r="M385" s="17"/>
      <c r="P385" s="8"/>
    </row>
    <row r="386" spans="3:16" ht="15.75" customHeight="1" x14ac:dyDescent="0.2">
      <c r="C386" s="12"/>
      <c r="D386" s="13"/>
      <c r="E386" s="14"/>
      <c r="G386" s="16"/>
      <c r="H386" s="16"/>
      <c r="I386" s="16"/>
      <c r="M386" s="17"/>
      <c r="P386" s="8"/>
    </row>
    <row r="387" spans="3:16" ht="15.75" customHeight="1" x14ac:dyDescent="0.2">
      <c r="C387" s="12"/>
      <c r="D387" s="13"/>
      <c r="E387" s="14"/>
      <c r="G387" s="16"/>
      <c r="H387" s="16"/>
      <c r="I387" s="16"/>
      <c r="M387" s="17"/>
      <c r="P387" s="8"/>
    </row>
    <row r="388" spans="3:16" ht="15.75" customHeight="1" x14ac:dyDescent="0.2">
      <c r="C388" s="12"/>
      <c r="D388" s="13"/>
      <c r="E388" s="14"/>
      <c r="G388" s="16"/>
      <c r="H388" s="16"/>
      <c r="I388" s="16"/>
      <c r="M388" s="17"/>
      <c r="P388" s="8"/>
    </row>
    <row r="389" spans="3:16" ht="15.75" customHeight="1" x14ac:dyDescent="0.2">
      <c r="C389" s="12"/>
      <c r="D389" s="13"/>
      <c r="E389" s="14"/>
      <c r="G389" s="16"/>
      <c r="H389" s="16"/>
      <c r="I389" s="16"/>
      <c r="M389" s="17"/>
      <c r="P389" s="8"/>
    </row>
    <row r="390" spans="3:16" ht="15.75" customHeight="1" x14ac:dyDescent="0.2">
      <c r="C390" s="12"/>
      <c r="D390" s="13"/>
      <c r="E390" s="14"/>
      <c r="G390" s="16"/>
      <c r="H390" s="16"/>
      <c r="I390" s="16"/>
      <c r="M390" s="17"/>
      <c r="P390" s="8"/>
    </row>
    <row r="391" spans="3:16" ht="15.75" customHeight="1" x14ac:dyDescent="0.2">
      <c r="C391" s="12"/>
      <c r="D391" s="13"/>
      <c r="E391" s="14"/>
      <c r="G391" s="16"/>
      <c r="H391" s="16"/>
      <c r="I391" s="16"/>
      <c r="M391" s="17"/>
      <c r="P391" s="8"/>
    </row>
    <row r="392" spans="3:16" ht="15.75" customHeight="1" x14ac:dyDescent="0.2">
      <c r="C392" s="12"/>
      <c r="D392" s="13"/>
      <c r="E392" s="14"/>
      <c r="G392" s="16"/>
      <c r="H392" s="16"/>
      <c r="I392" s="16"/>
      <c r="M392" s="17"/>
      <c r="P392" s="8"/>
    </row>
    <row r="393" spans="3:16" ht="15.75" customHeight="1" x14ac:dyDescent="0.2">
      <c r="C393" s="12"/>
      <c r="D393" s="13"/>
      <c r="E393" s="14"/>
      <c r="G393" s="16"/>
      <c r="H393" s="16"/>
      <c r="I393" s="16"/>
      <c r="M393" s="17"/>
      <c r="P393" s="8"/>
    </row>
    <row r="394" spans="3:16" ht="15.75" customHeight="1" x14ac:dyDescent="0.2">
      <c r="C394" s="12"/>
      <c r="D394" s="13"/>
      <c r="E394" s="14"/>
      <c r="G394" s="16"/>
      <c r="H394" s="16"/>
      <c r="I394" s="16"/>
      <c r="M394" s="17"/>
      <c r="P394" s="8"/>
    </row>
    <row r="395" spans="3:16" ht="15.75" customHeight="1" x14ac:dyDescent="0.2">
      <c r="C395" s="12"/>
      <c r="D395" s="13"/>
      <c r="E395" s="14"/>
      <c r="G395" s="16"/>
      <c r="H395" s="16"/>
      <c r="I395" s="16"/>
      <c r="M395" s="17"/>
      <c r="P395" s="8"/>
    </row>
    <row r="396" spans="3:16" ht="15.75" customHeight="1" x14ac:dyDescent="0.2">
      <c r="C396" s="12"/>
      <c r="D396" s="13"/>
      <c r="E396" s="14"/>
      <c r="G396" s="16"/>
      <c r="H396" s="16"/>
      <c r="I396" s="16"/>
      <c r="M396" s="17"/>
      <c r="P396" s="8"/>
    </row>
    <row r="397" spans="3:16" ht="15.75" customHeight="1" x14ac:dyDescent="0.2">
      <c r="C397" s="12"/>
      <c r="D397" s="13"/>
      <c r="E397" s="14"/>
      <c r="G397" s="16"/>
      <c r="H397" s="16"/>
      <c r="I397" s="16"/>
      <c r="M397" s="17"/>
      <c r="P397" s="8"/>
    </row>
    <row r="398" spans="3:16" ht="15.75" customHeight="1" x14ac:dyDescent="0.2">
      <c r="C398" s="12"/>
      <c r="D398" s="13"/>
      <c r="E398" s="14"/>
      <c r="G398" s="16"/>
      <c r="H398" s="16"/>
      <c r="I398" s="16"/>
      <c r="M398" s="17"/>
      <c r="P398" s="8"/>
    </row>
    <row r="399" spans="3:16" ht="15.75" customHeight="1" x14ac:dyDescent="0.2">
      <c r="C399" s="12"/>
      <c r="D399" s="13"/>
      <c r="E399" s="14"/>
      <c r="G399" s="16"/>
      <c r="H399" s="16"/>
      <c r="I399" s="16"/>
      <c r="M399" s="17"/>
      <c r="P399" s="8"/>
    </row>
    <row r="400" spans="3:16" ht="15.75" customHeight="1" x14ac:dyDescent="0.2">
      <c r="C400" s="12"/>
      <c r="D400" s="13"/>
      <c r="E400" s="14"/>
      <c r="G400" s="16"/>
      <c r="H400" s="16"/>
      <c r="I400" s="16"/>
      <c r="M400" s="17"/>
      <c r="P400" s="8"/>
    </row>
    <row r="401" spans="3:16" ht="15.75" customHeight="1" x14ac:dyDescent="0.2">
      <c r="C401" s="12"/>
      <c r="D401" s="13"/>
      <c r="E401" s="14"/>
      <c r="G401" s="16"/>
      <c r="H401" s="16"/>
      <c r="I401" s="16"/>
      <c r="M401" s="17"/>
      <c r="P401" s="8"/>
    </row>
    <row r="402" spans="3:16" ht="15.75" customHeight="1" x14ac:dyDescent="0.2">
      <c r="C402" s="12"/>
      <c r="D402" s="13"/>
      <c r="E402" s="14"/>
      <c r="G402" s="16"/>
      <c r="H402" s="16"/>
      <c r="I402" s="16"/>
      <c r="M402" s="17"/>
      <c r="P402" s="8"/>
    </row>
    <row r="403" spans="3:16" ht="15.75" customHeight="1" x14ac:dyDescent="0.2">
      <c r="C403" s="12"/>
      <c r="D403" s="13"/>
      <c r="E403" s="14"/>
      <c r="G403" s="16"/>
      <c r="H403" s="16"/>
      <c r="I403" s="16"/>
      <c r="M403" s="17"/>
      <c r="P403" s="8"/>
    </row>
    <row r="404" spans="3:16" ht="15.75" customHeight="1" x14ac:dyDescent="0.2">
      <c r="C404" s="12"/>
      <c r="D404" s="13"/>
      <c r="E404" s="14"/>
      <c r="G404" s="16"/>
      <c r="H404" s="16"/>
      <c r="I404" s="16"/>
      <c r="M404" s="17"/>
      <c r="P404" s="8"/>
    </row>
    <row r="405" spans="3:16" ht="15.75" customHeight="1" x14ac:dyDescent="0.2">
      <c r="C405" s="12"/>
      <c r="D405" s="13"/>
      <c r="E405" s="14"/>
      <c r="G405" s="16"/>
      <c r="H405" s="16"/>
      <c r="I405" s="16"/>
      <c r="M405" s="17"/>
      <c r="P405" s="8"/>
    </row>
    <row r="406" spans="3:16" ht="15.75" customHeight="1" x14ac:dyDescent="0.2">
      <c r="C406" s="12"/>
      <c r="D406" s="13"/>
      <c r="E406" s="14"/>
      <c r="G406" s="16"/>
      <c r="H406" s="16"/>
      <c r="I406" s="16"/>
      <c r="M406" s="17"/>
      <c r="P406" s="8"/>
    </row>
    <row r="407" spans="3:16" ht="15.75" customHeight="1" x14ac:dyDescent="0.2">
      <c r="C407" s="12"/>
      <c r="D407" s="13"/>
      <c r="E407" s="14"/>
      <c r="G407" s="16"/>
      <c r="H407" s="16"/>
      <c r="I407" s="16"/>
      <c r="M407" s="17"/>
      <c r="P407" s="8"/>
    </row>
    <row r="408" spans="3:16" ht="15.75" customHeight="1" x14ac:dyDescent="0.2">
      <c r="C408" s="12"/>
      <c r="D408" s="13"/>
      <c r="E408" s="14"/>
      <c r="G408" s="16"/>
      <c r="H408" s="16"/>
      <c r="I408" s="16"/>
      <c r="M408" s="17"/>
      <c r="P408" s="8"/>
    </row>
    <row r="409" spans="3:16" ht="15.75" customHeight="1" x14ac:dyDescent="0.2">
      <c r="C409" s="12"/>
      <c r="D409" s="13"/>
      <c r="E409" s="14"/>
      <c r="G409" s="16"/>
      <c r="H409" s="16"/>
      <c r="I409" s="16"/>
      <c r="M409" s="17"/>
      <c r="P409" s="8"/>
    </row>
    <row r="410" spans="3:16" ht="15.75" customHeight="1" x14ac:dyDescent="0.2">
      <c r="C410" s="12"/>
      <c r="D410" s="13"/>
      <c r="E410" s="14"/>
      <c r="G410" s="16"/>
      <c r="H410" s="16"/>
      <c r="I410" s="16"/>
      <c r="M410" s="17"/>
      <c r="P410" s="8"/>
    </row>
    <row r="411" spans="3:16" ht="15.75" customHeight="1" x14ac:dyDescent="0.2">
      <c r="C411" s="12"/>
      <c r="D411" s="13"/>
      <c r="E411" s="14"/>
      <c r="G411" s="16"/>
      <c r="H411" s="16"/>
      <c r="I411" s="16"/>
      <c r="M411" s="17"/>
      <c r="P411" s="8"/>
    </row>
    <row r="412" spans="3:16" ht="15.75" customHeight="1" x14ac:dyDescent="0.2">
      <c r="C412" s="12"/>
      <c r="D412" s="13"/>
      <c r="E412" s="14"/>
      <c r="G412" s="16"/>
      <c r="H412" s="16"/>
      <c r="I412" s="16"/>
      <c r="M412" s="17"/>
      <c r="P412" s="8"/>
    </row>
    <row r="413" spans="3:16" ht="15.75" customHeight="1" x14ac:dyDescent="0.2">
      <c r="C413" s="12"/>
      <c r="D413" s="13"/>
      <c r="E413" s="14"/>
      <c r="G413" s="16"/>
      <c r="H413" s="16"/>
      <c r="I413" s="16"/>
      <c r="M413" s="17"/>
      <c r="P413" s="8"/>
    </row>
    <row r="414" spans="3:16" ht="15.75" customHeight="1" x14ac:dyDescent="0.2">
      <c r="C414" s="12"/>
      <c r="D414" s="13"/>
      <c r="E414" s="14"/>
      <c r="G414" s="16"/>
      <c r="H414" s="16"/>
      <c r="I414" s="16"/>
      <c r="M414" s="17"/>
      <c r="P414" s="8"/>
    </row>
    <row r="415" spans="3:16" ht="15.75" customHeight="1" x14ac:dyDescent="0.2">
      <c r="C415" s="12"/>
      <c r="D415" s="13"/>
      <c r="E415" s="14"/>
      <c r="G415" s="16"/>
      <c r="H415" s="16"/>
      <c r="I415" s="16"/>
      <c r="M415" s="17"/>
      <c r="P415" s="8"/>
    </row>
    <row r="416" spans="3:16" ht="15.75" customHeight="1" x14ac:dyDescent="0.2">
      <c r="C416" s="12"/>
      <c r="D416" s="13"/>
      <c r="E416" s="14"/>
      <c r="G416" s="16"/>
      <c r="H416" s="16"/>
      <c r="I416" s="16"/>
      <c r="M416" s="17"/>
      <c r="P416" s="8"/>
    </row>
    <row r="417" spans="3:16" ht="15.75" customHeight="1" x14ac:dyDescent="0.2">
      <c r="C417" s="12"/>
      <c r="D417" s="13"/>
      <c r="E417" s="14"/>
      <c r="G417" s="16"/>
      <c r="H417" s="16"/>
      <c r="I417" s="16"/>
      <c r="M417" s="17"/>
      <c r="P417" s="8"/>
    </row>
    <row r="418" spans="3:16" ht="15.75" customHeight="1" x14ac:dyDescent="0.2">
      <c r="C418" s="12"/>
      <c r="D418" s="13"/>
      <c r="E418" s="14"/>
      <c r="G418" s="16"/>
      <c r="H418" s="16"/>
      <c r="I418" s="16"/>
      <c r="M418" s="17"/>
      <c r="P418" s="8"/>
    </row>
    <row r="419" spans="3:16" ht="15.75" customHeight="1" x14ac:dyDescent="0.2">
      <c r="C419" s="12"/>
      <c r="D419" s="13"/>
      <c r="E419" s="14"/>
      <c r="G419" s="16"/>
      <c r="H419" s="16"/>
      <c r="I419" s="16"/>
      <c r="M419" s="17"/>
      <c r="P419" s="8"/>
    </row>
    <row r="420" spans="3:16" ht="15.75" customHeight="1" x14ac:dyDescent="0.2">
      <c r="C420" s="12"/>
      <c r="D420" s="13"/>
      <c r="E420" s="14"/>
      <c r="G420" s="16"/>
      <c r="H420" s="16"/>
      <c r="I420" s="16"/>
      <c r="M420" s="17"/>
      <c r="P420" s="8"/>
    </row>
    <row r="421" spans="3:16" ht="15.75" customHeight="1" x14ac:dyDescent="0.2">
      <c r="C421" s="12"/>
      <c r="D421" s="13"/>
      <c r="E421" s="14"/>
      <c r="G421" s="16"/>
      <c r="H421" s="16"/>
      <c r="I421" s="16"/>
      <c r="M421" s="17"/>
      <c r="P421" s="8"/>
    </row>
    <row r="422" spans="3:16" ht="15.75" customHeight="1" x14ac:dyDescent="0.2">
      <c r="C422" s="12"/>
      <c r="D422" s="13"/>
      <c r="E422" s="14"/>
      <c r="G422" s="16"/>
      <c r="H422" s="16"/>
      <c r="I422" s="16"/>
      <c r="M422" s="17"/>
      <c r="P422" s="8"/>
    </row>
    <row r="423" spans="3:16" ht="15.75" customHeight="1" x14ac:dyDescent="0.2">
      <c r="C423" s="12"/>
      <c r="D423" s="13"/>
      <c r="E423" s="14"/>
      <c r="G423" s="16"/>
      <c r="H423" s="16"/>
      <c r="I423" s="16"/>
      <c r="M423" s="17"/>
      <c r="P423" s="8"/>
    </row>
    <row r="424" spans="3:16" ht="15.75" customHeight="1" x14ac:dyDescent="0.2">
      <c r="C424" s="12"/>
      <c r="D424" s="13"/>
      <c r="E424" s="14"/>
      <c r="G424" s="16"/>
      <c r="H424" s="16"/>
      <c r="I424" s="16"/>
      <c r="M424" s="17"/>
      <c r="P424" s="8"/>
    </row>
    <row r="425" spans="3:16" ht="15.75" customHeight="1" x14ac:dyDescent="0.2">
      <c r="C425" s="12"/>
      <c r="D425" s="13"/>
      <c r="E425" s="14"/>
      <c r="G425" s="16"/>
      <c r="H425" s="16"/>
      <c r="I425" s="16"/>
      <c r="M425" s="17"/>
      <c r="P425" s="8"/>
    </row>
    <row r="426" spans="3:16" ht="15.75" customHeight="1" x14ac:dyDescent="0.2">
      <c r="C426" s="12"/>
      <c r="D426" s="13"/>
      <c r="E426" s="14"/>
      <c r="G426" s="16"/>
      <c r="H426" s="16"/>
      <c r="I426" s="16"/>
      <c r="M426" s="17"/>
      <c r="P426" s="8"/>
    </row>
    <row r="427" spans="3:16" ht="15.75" customHeight="1" x14ac:dyDescent="0.2">
      <c r="C427" s="12"/>
      <c r="D427" s="13"/>
      <c r="E427" s="14"/>
      <c r="G427" s="16"/>
      <c r="H427" s="16"/>
      <c r="I427" s="16"/>
      <c r="M427" s="17"/>
      <c r="P427" s="8"/>
    </row>
    <row r="428" spans="3:16" ht="15.75" customHeight="1" x14ac:dyDescent="0.2">
      <c r="C428" s="12"/>
      <c r="D428" s="13"/>
      <c r="E428" s="14"/>
      <c r="G428" s="16"/>
      <c r="H428" s="16"/>
      <c r="I428" s="16"/>
      <c r="M428" s="17"/>
      <c r="P428" s="8"/>
    </row>
    <row r="429" spans="3:16" ht="15.75" customHeight="1" x14ac:dyDescent="0.2">
      <c r="C429" s="12"/>
      <c r="D429" s="13"/>
      <c r="E429" s="14"/>
      <c r="G429" s="16"/>
      <c r="H429" s="16"/>
      <c r="I429" s="16"/>
      <c r="M429" s="17"/>
      <c r="P429" s="8"/>
    </row>
    <row r="430" spans="3:16" ht="15.75" customHeight="1" x14ac:dyDescent="0.2">
      <c r="C430" s="12"/>
      <c r="D430" s="13"/>
      <c r="E430" s="14"/>
      <c r="G430" s="16"/>
      <c r="H430" s="16"/>
      <c r="I430" s="16"/>
      <c r="M430" s="17"/>
      <c r="P430" s="8"/>
    </row>
    <row r="431" spans="3:16" ht="15.75" customHeight="1" x14ac:dyDescent="0.2">
      <c r="C431" s="12"/>
      <c r="D431" s="13"/>
      <c r="E431" s="14"/>
      <c r="G431" s="16"/>
      <c r="H431" s="16"/>
      <c r="I431" s="16"/>
      <c r="M431" s="17"/>
      <c r="P431" s="8"/>
    </row>
    <row r="432" spans="3:16" ht="15.75" customHeight="1" x14ac:dyDescent="0.2">
      <c r="C432" s="12"/>
      <c r="D432" s="13"/>
      <c r="E432" s="14"/>
      <c r="G432" s="16"/>
      <c r="H432" s="16"/>
      <c r="I432" s="16"/>
      <c r="M432" s="17"/>
      <c r="P432" s="8"/>
    </row>
    <row r="433" spans="3:16" ht="15.75" customHeight="1" x14ac:dyDescent="0.2">
      <c r="C433" s="12"/>
      <c r="D433" s="13"/>
      <c r="E433" s="14"/>
      <c r="G433" s="16"/>
      <c r="H433" s="16"/>
      <c r="I433" s="16"/>
      <c r="M433" s="17"/>
      <c r="P433" s="8"/>
    </row>
    <row r="434" spans="3:16" ht="15.75" customHeight="1" x14ac:dyDescent="0.2">
      <c r="C434" s="12"/>
      <c r="D434" s="13"/>
      <c r="E434" s="14"/>
      <c r="G434" s="16"/>
      <c r="H434" s="16"/>
      <c r="I434" s="16"/>
      <c r="M434" s="17"/>
      <c r="P434" s="8"/>
    </row>
    <row r="435" spans="3:16" ht="15.75" customHeight="1" x14ac:dyDescent="0.2">
      <c r="C435" s="12"/>
      <c r="D435" s="13"/>
      <c r="E435" s="14"/>
      <c r="G435" s="16"/>
      <c r="H435" s="16"/>
      <c r="I435" s="16"/>
      <c r="M435" s="17"/>
      <c r="P435" s="8"/>
    </row>
    <row r="436" spans="3:16" ht="15.75" customHeight="1" x14ac:dyDescent="0.2">
      <c r="C436" s="12"/>
      <c r="D436" s="13"/>
      <c r="E436" s="14"/>
      <c r="G436" s="16"/>
      <c r="H436" s="16"/>
      <c r="I436" s="16"/>
      <c r="M436" s="17"/>
      <c r="P436" s="8"/>
    </row>
    <row r="437" spans="3:16" ht="15.75" customHeight="1" x14ac:dyDescent="0.2">
      <c r="C437" s="12"/>
      <c r="D437" s="13"/>
      <c r="E437" s="14"/>
      <c r="G437" s="16"/>
      <c r="H437" s="16"/>
      <c r="I437" s="16"/>
      <c r="M437" s="17"/>
      <c r="P437" s="8"/>
    </row>
    <row r="438" spans="3:16" ht="15.75" customHeight="1" x14ac:dyDescent="0.2">
      <c r="C438" s="12"/>
      <c r="D438" s="13"/>
      <c r="E438" s="14"/>
      <c r="G438" s="16"/>
      <c r="H438" s="16"/>
      <c r="I438" s="16"/>
      <c r="M438" s="17"/>
      <c r="P438" s="8"/>
    </row>
    <row r="439" spans="3:16" ht="15.75" customHeight="1" x14ac:dyDescent="0.2">
      <c r="C439" s="12"/>
      <c r="D439" s="13"/>
      <c r="E439" s="14"/>
      <c r="G439" s="16"/>
      <c r="H439" s="16"/>
      <c r="I439" s="16"/>
      <c r="M439" s="17"/>
      <c r="P439" s="8"/>
    </row>
    <row r="440" spans="3:16" ht="15.75" customHeight="1" x14ac:dyDescent="0.2">
      <c r="C440" s="12"/>
      <c r="D440" s="13"/>
      <c r="E440" s="14"/>
      <c r="G440" s="16"/>
      <c r="H440" s="16"/>
      <c r="I440" s="16"/>
      <c r="M440" s="17"/>
      <c r="P440" s="8"/>
    </row>
    <row r="441" spans="3:16" ht="15.75" customHeight="1" x14ac:dyDescent="0.2">
      <c r="C441" s="12"/>
      <c r="D441" s="13"/>
      <c r="E441" s="14"/>
      <c r="G441" s="16"/>
      <c r="H441" s="16"/>
      <c r="I441" s="16"/>
      <c r="M441" s="17"/>
      <c r="P441" s="8"/>
    </row>
    <row r="442" spans="3:16" ht="15.75" customHeight="1" x14ac:dyDescent="0.2">
      <c r="C442" s="12"/>
      <c r="D442" s="13"/>
      <c r="E442" s="14"/>
      <c r="G442" s="16"/>
      <c r="H442" s="16"/>
      <c r="I442" s="16"/>
      <c r="M442" s="17"/>
      <c r="P442" s="8"/>
    </row>
    <row r="443" spans="3:16" ht="15.75" customHeight="1" x14ac:dyDescent="0.2">
      <c r="C443" s="12"/>
      <c r="D443" s="13"/>
      <c r="E443" s="14"/>
      <c r="G443" s="16"/>
      <c r="H443" s="16"/>
      <c r="I443" s="16"/>
      <c r="M443" s="17"/>
      <c r="P443" s="8"/>
    </row>
    <row r="444" spans="3:16" ht="15.75" customHeight="1" x14ac:dyDescent="0.2">
      <c r="C444" s="12"/>
      <c r="D444" s="13"/>
      <c r="E444" s="14"/>
      <c r="G444" s="16"/>
      <c r="H444" s="16"/>
      <c r="I444" s="16"/>
      <c r="M444" s="17"/>
      <c r="P444" s="8"/>
    </row>
    <row r="445" spans="3:16" ht="15.75" customHeight="1" x14ac:dyDescent="0.2">
      <c r="C445" s="12"/>
      <c r="D445" s="13"/>
      <c r="E445" s="14"/>
      <c r="G445" s="16"/>
      <c r="H445" s="16"/>
      <c r="I445" s="16"/>
      <c r="M445" s="17"/>
      <c r="P445" s="8"/>
    </row>
    <row r="446" spans="3:16" ht="15.75" customHeight="1" x14ac:dyDescent="0.2">
      <c r="C446" s="12"/>
      <c r="D446" s="13"/>
      <c r="E446" s="14"/>
      <c r="G446" s="16"/>
      <c r="H446" s="16"/>
      <c r="I446" s="16"/>
      <c r="M446" s="17"/>
      <c r="P446" s="8"/>
    </row>
    <row r="447" spans="3:16" ht="15.75" customHeight="1" x14ac:dyDescent="0.2">
      <c r="C447" s="12"/>
      <c r="D447" s="13"/>
      <c r="E447" s="14"/>
      <c r="G447" s="16"/>
      <c r="H447" s="16"/>
      <c r="I447" s="16"/>
      <c r="M447" s="17"/>
      <c r="P447" s="8"/>
    </row>
    <row r="448" spans="3:16" ht="15.75" customHeight="1" x14ac:dyDescent="0.2">
      <c r="C448" s="12"/>
      <c r="D448" s="13"/>
      <c r="E448" s="14"/>
      <c r="G448" s="16"/>
      <c r="H448" s="16"/>
      <c r="I448" s="16"/>
      <c r="M448" s="17"/>
      <c r="P448" s="8"/>
    </row>
    <row r="449" spans="3:16" ht="15.75" customHeight="1" x14ac:dyDescent="0.2">
      <c r="C449" s="12"/>
      <c r="D449" s="13"/>
      <c r="E449" s="14"/>
      <c r="G449" s="16"/>
      <c r="H449" s="16"/>
      <c r="I449" s="16"/>
      <c r="M449" s="17"/>
      <c r="P449" s="8"/>
    </row>
    <row r="450" spans="3:16" ht="15.75" customHeight="1" x14ac:dyDescent="0.2">
      <c r="C450" s="12"/>
      <c r="D450" s="13"/>
      <c r="E450" s="14"/>
      <c r="G450" s="16"/>
      <c r="H450" s="16"/>
      <c r="I450" s="16"/>
      <c r="M450" s="17"/>
      <c r="P450" s="8"/>
    </row>
    <row r="451" spans="3:16" ht="15.75" customHeight="1" x14ac:dyDescent="0.2">
      <c r="C451" s="12"/>
      <c r="D451" s="13"/>
      <c r="E451" s="14"/>
      <c r="G451" s="16"/>
      <c r="H451" s="16"/>
      <c r="I451" s="16"/>
      <c r="M451" s="17"/>
      <c r="P451" s="8"/>
    </row>
    <row r="452" spans="3:16" ht="15.75" customHeight="1" x14ac:dyDescent="0.2">
      <c r="C452" s="12"/>
      <c r="D452" s="13"/>
      <c r="E452" s="14"/>
      <c r="G452" s="16"/>
      <c r="H452" s="16"/>
      <c r="I452" s="16"/>
      <c r="M452" s="17"/>
      <c r="P452" s="8"/>
    </row>
    <row r="453" spans="3:16" ht="15.75" customHeight="1" x14ac:dyDescent="0.2">
      <c r="C453" s="12"/>
      <c r="D453" s="13"/>
      <c r="E453" s="14"/>
      <c r="G453" s="16"/>
      <c r="H453" s="16"/>
      <c r="I453" s="16"/>
      <c r="M453" s="17"/>
      <c r="P453" s="8"/>
    </row>
    <row r="454" spans="3:16" ht="15.75" customHeight="1" x14ac:dyDescent="0.2">
      <c r="C454" s="12"/>
      <c r="D454" s="13"/>
      <c r="E454" s="14"/>
      <c r="G454" s="16"/>
      <c r="H454" s="16"/>
      <c r="I454" s="16"/>
      <c r="M454" s="17"/>
      <c r="P454" s="8"/>
    </row>
    <row r="455" spans="3:16" ht="15.75" customHeight="1" x14ac:dyDescent="0.2">
      <c r="C455" s="12"/>
      <c r="D455" s="13"/>
      <c r="E455" s="14"/>
      <c r="G455" s="16"/>
      <c r="H455" s="16"/>
      <c r="I455" s="16"/>
      <c r="M455" s="17"/>
      <c r="P455" s="8"/>
    </row>
    <row r="456" spans="3:16" ht="15.75" customHeight="1" x14ac:dyDescent="0.2">
      <c r="C456" s="12"/>
      <c r="D456" s="13"/>
      <c r="E456" s="14"/>
      <c r="G456" s="16"/>
      <c r="H456" s="16"/>
      <c r="I456" s="16"/>
      <c r="M456" s="17"/>
      <c r="P456" s="8"/>
    </row>
    <row r="457" spans="3:16" ht="15.75" customHeight="1" x14ac:dyDescent="0.2">
      <c r="C457" s="12"/>
      <c r="D457" s="13"/>
      <c r="E457" s="14"/>
      <c r="G457" s="16"/>
      <c r="H457" s="16"/>
      <c r="I457" s="16"/>
      <c r="M457" s="17"/>
      <c r="P457" s="8"/>
    </row>
    <row r="458" spans="3:16" ht="15.75" customHeight="1" x14ac:dyDescent="0.2">
      <c r="C458" s="12"/>
      <c r="D458" s="13"/>
      <c r="E458" s="14"/>
      <c r="G458" s="16"/>
      <c r="H458" s="16"/>
      <c r="I458" s="16"/>
      <c r="M458" s="17"/>
      <c r="P458" s="8"/>
    </row>
    <row r="459" spans="3:16" ht="15.75" customHeight="1" x14ac:dyDescent="0.2">
      <c r="C459" s="12"/>
      <c r="D459" s="13"/>
      <c r="E459" s="14"/>
      <c r="G459" s="16"/>
      <c r="H459" s="16"/>
      <c r="I459" s="16"/>
      <c r="M459" s="17"/>
      <c r="P459" s="8"/>
    </row>
    <row r="460" spans="3:16" ht="15.75" customHeight="1" x14ac:dyDescent="0.2">
      <c r="C460" s="12"/>
      <c r="D460" s="13"/>
      <c r="E460" s="14"/>
      <c r="G460" s="16"/>
      <c r="H460" s="16"/>
      <c r="I460" s="16"/>
      <c r="M460" s="17"/>
      <c r="P460" s="8"/>
    </row>
    <row r="461" spans="3:16" ht="15.75" customHeight="1" x14ac:dyDescent="0.2">
      <c r="C461" s="12"/>
      <c r="D461" s="13"/>
      <c r="E461" s="14"/>
      <c r="G461" s="16"/>
      <c r="H461" s="16"/>
      <c r="I461" s="16"/>
      <c r="M461" s="17"/>
      <c r="P461" s="8"/>
    </row>
    <row r="462" spans="3:16" ht="15.75" customHeight="1" x14ac:dyDescent="0.2">
      <c r="C462" s="12"/>
      <c r="D462" s="13"/>
      <c r="E462" s="14"/>
      <c r="G462" s="16"/>
      <c r="H462" s="16"/>
      <c r="I462" s="16"/>
      <c r="M462" s="17"/>
      <c r="P462" s="8"/>
    </row>
    <row r="463" spans="3:16" ht="15.75" customHeight="1" x14ac:dyDescent="0.2">
      <c r="C463" s="12"/>
      <c r="D463" s="13"/>
      <c r="E463" s="14"/>
      <c r="G463" s="16"/>
      <c r="H463" s="16"/>
      <c r="I463" s="16"/>
      <c r="M463" s="17"/>
      <c r="P463" s="8"/>
    </row>
    <row r="464" spans="3:16" ht="15.75" customHeight="1" x14ac:dyDescent="0.2">
      <c r="C464" s="12"/>
      <c r="D464" s="13"/>
      <c r="E464" s="14"/>
      <c r="G464" s="16"/>
      <c r="H464" s="16"/>
      <c r="I464" s="16"/>
      <c r="M464" s="17"/>
      <c r="P464" s="8"/>
    </row>
    <row r="465" spans="3:16" ht="15.75" customHeight="1" x14ac:dyDescent="0.2">
      <c r="C465" s="12"/>
      <c r="D465" s="13"/>
      <c r="E465" s="14"/>
      <c r="G465" s="16"/>
      <c r="H465" s="16"/>
      <c r="I465" s="16"/>
      <c r="M465" s="17"/>
      <c r="P465" s="8"/>
    </row>
    <row r="466" spans="3:16" ht="15.75" customHeight="1" x14ac:dyDescent="0.2">
      <c r="C466" s="12"/>
      <c r="D466" s="13"/>
      <c r="E466" s="14"/>
      <c r="G466" s="16"/>
      <c r="H466" s="16"/>
      <c r="I466" s="16"/>
      <c r="M466" s="17"/>
      <c r="P466" s="8"/>
    </row>
    <row r="467" spans="3:16" ht="15.75" customHeight="1" x14ac:dyDescent="0.2">
      <c r="C467" s="12"/>
      <c r="D467" s="13"/>
      <c r="E467" s="14"/>
      <c r="G467" s="16"/>
      <c r="H467" s="16"/>
      <c r="I467" s="16"/>
      <c r="M467" s="17"/>
      <c r="P467" s="8"/>
    </row>
    <row r="468" spans="3:16" ht="15.75" customHeight="1" x14ac:dyDescent="0.2">
      <c r="C468" s="12"/>
      <c r="D468" s="13"/>
      <c r="E468" s="14"/>
      <c r="G468" s="16"/>
      <c r="H468" s="16"/>
      <c r="I468" s="16"/>
      <c r="M468" s="17"/>
      <c r="P468" s="8"/>
    </row>
    <row r="469" spans="3:16" ht="15.75" customHeight="1" x14ac:dyDescent="0.2">
      <c r="C469" s="12"/>
      <c r="D469" s="13"/>
      <c r="E469" s="14"/>
      <c r="G469" s="16"/>
      <c r="H469" s="16"/>
      <c r="I469" s="16"/>
      <c r="M469" s="17"/>
      <c r="P469" s="8"/>
    </row>
    <row r="470" spans="3:16" ht="15.75" customHeight="1" x14ac:dyDescent="0.2">
      <c r="C470" s="12"/>
      <c r="D470" s="13"/>
      <c r="E470" s="14"/>
      <c r="G470" s="16"/>
      <c r="H470" s="16"/>
      <c r="I470" s="16"/>
      <c r="M470" s="17"/>
      <c r="P470" s="8"/>
    </row>
    <row r="471" spans="3:16" ht="15.75" customHeight="1" x14ac:dyDescent="0.2">
      <c r="C471" s="12"/>
      <c r="D471" s="13"/>
      <c r="E471" s="14"/>
      <c r="G471" s="16"/>
      <c r="H471" s="16"/>
      <c r="I471" s="16"/>
      <c r="M471" s="17"/>
      <c r="P471" s="8"/>
    </row>
    <row r="472" spans="3:16" ht="15.75" customHeight="1" x14ac:dyDescent="0.2">
      <c r="C472" s="12"/>
      <c r="D472" s="13"/>
      <c r="E472" s="14"/>
      <c r="G472" s="16"/>
      <c r="H472" s="16"/>
      <c r="I472" s="16"/>
      <c r="M472" s="17"/>
      <c r="P472" s="8"/>
    </row>
    <row r="473" spans="3:16" ht="15.75" customHeight="1" x14ac:dyDescent="0.2">
      <c r="C473" s="12"/>
      <c r="D473" s="13"/>
      <c r="E473" s="14"/>
      <c r="G473" s="16"/>
      <c r="H473" s="16"/>
      <c r="I473" s="16"/>
      <c r="M473" s="17"/>
      <c r="P473" s="8"/>
    </row>
    <row r="474" spans="3:16" ht="15.75" customHeight="1" x14ac:dyDescent="0.2">
      <c r="C474" s="12"/>
      <c r="D474" s="13"/>
      <c r="E474" s="14"/>
      <c r="G474" s="16"/>
      <c r="H474" s="16"/>
      <c r="I474" s="16"/>
      <c r="M474" s="17"/>
      <c r="P474" s="8"/>
    </row>
    <row r="475" spans="3:16" ht="15.75" customHeight="1" x14ac:dyDescent="0.2">
      <c r="C475" s="12"/>
      <c r="D475" s="13"/>
      <c r="E475" s="14"/>
      <c r="G475" s="16"/>
      <c r="H475" s="16"/>
      <c r="I475" s="16"/>
      <c r="M475" s="17"/>
      <c r="P475" s="8"/>
    </row>
    <row r="476" spans="3:16" ht="15.75" customHeight="1" x14ac:dyDescent="0.2">
      <c r="C476" s="12"/>
      <c r="D476" s="13"/>
      <c r="E476" s="14"/>
      <c r="G476" s="16"/>
      <c r="H476" s="16"/>
      <c r="I476" s="16"/>
      <c r="M476" s="17"/>
      <c r="P476" s="8"/>
    </row>
    <row r="477" spans="3:16" ht="15.75" customHeight="1" x14ac:dyDescent="0.2">
      <c r="C477" s="12"/>
      <c r="D477" s="13"/>
      <c r="E477" s="14"/>
      <c r="G477" s="16"/>
      <c r="H477" s="16"/>
      <c r="I477" s="16"/>
      <c r="M477" s="17"/>
      <c r="P477" s="8"/>
    </row>
    <row r="478" spans="3:16" ht="15.75" customHeight="1" x14ac:dyDescent="0.2">
      <c r="C478" s="12"/>
      <c r="D478" s="13"/>
      <c r="E478" s="14"/>
      <c r="G478" s="16"/>
      <c r="H478" s="16"/>
      <c r="I478" s="16"/>
      <c r="M478" s="17"/>
      <c r="P478" s="8"/>
    </row>
    <row r="479" spans="3:16" ht="15.75" customHeight="1" x14ac:dyDescent="0.2">
      <c r="C479" s="12"/>
      <c r="D479" s="13"/>
      <c r="E479" s="14"/>
      <c r="G479" s="16"/>
      <c r="H479" s="16"/>
      <c r="I479" s="16"/>
      <c r="M479" s="17"/>
      <c r="P479" s="8"/>
    </row>
    <row r="480" spans="3:16" ht="15.75" customHeight="1" x14ac:dyDescent="0.2">
      <c r="C480" s="12"/>
      <c r="D480" s="13"/>
      <c r="E480" s="14"/>
      <c r="G480" s="16"/>
      <c r="H480" s="16"/>
      <c r="I480" s="16"/>
      <c r="M480" s="17"/>
      <c r="P480" s="8"/>
    </row>
    <row r="481" spans="3:16" ht="15.75" customHeight="1" x14ac:dyDescent="0.2">
      <c r="C481" s="12"/>
      <c r="D481" s="13"/>
      <c r="E481" s="14"/>
      <c r="G481" s="16"/>
      <c r="H481" s="16"/>
      <c r="I481" s="16"/>
      <c r="M481" s="17"/>
      <c r="P481" s="8"/>
    </row>
    <row r="482" spans="3:16" ht="15.75" customHeight="1" x14ac:dyDescent="0.2">
      <c r="C482" s="12"/>
      <c r="D482" s="13"/>
      <c r="E482" s="14"/>
      <c r="G482" s="16"/>
      <c r="H482" s="16"/>
      <c r="I482" s="16"/>
      <c r="M482" s="17"/>
      <c r="P482" s="8"/>
    </row>
    <row r="483" spans="3:16" ht="15.75" customHeight="1" x14ac:dyDescent="0.2">
      <c r="C483" s="12"/>
      <c r="D483" s="13"/>
      <c r="E483" s="14"/>
      <c r="G483" s="16"/>
      <c r="H483" s="16"/>
      <c r="I483" s="16"/>
      <c r="M483" s="17"/>
      <c r="P483" s="8"/>
    </row>
    <row r="484" spans="3:16" ht="15.75" customHeight="1" x14ac:dyDescent="0.2">
      <c r="C484" s="12"/>
      <c r="D484" s="13"/>
      <c r="E484" s="14"/>
      <c r="G484" s="16"/>
      <c r="H484" s="16"/>
      <c r="I484" s="16"/>
      <c r="M484" s="17"/>
      <c r="P484" s="8"/>
    </row>
    <row r="485" spans="3:16" ht="15.75" customHeight="1" x14ac:dyDescent="0.2">
      <c r="C485" s="12"/>
      <c r="D485" s="13"/>
      <c r="E485" s="14"/>
      <c r="G485" s="16"/>
      <c r="H485" s="16"/>
      <c r="I485" s="16"/>
      <c r="M485" s="17"/>
      <c r="P485" s="8"/>
    </row>
    <row r="486" spans="3:16" ht="15.75" customHeight="1" x14ac:dyDescent="0.2">
      <c r="C486" s="12"/>
      <c r="D486" s="13"/>
      <c r="E486" s="14"/>
      <c r="G486" s="16"/>
      <c r="H486" s="16"/>
      <c r="I486" s="16"/>
      <c r="M486" s="17"/>
      <c r="P486" s="8"/>
    </row>
    <row r="487" spans="3:16" ht="15.75" customHeight="1" x14ac:dyDescent="0.2">
      <c r="C487" s="12"/>
      <c r="D487" s="13"/>
      <c r="E487" s="14"/>
      <c r="G487" s="16"/>
      <c r="H487" s="16"/>
      <c r="I487" s="16"/>
      <c r="M487" s="17"/>
      <c r="P487" s="8"/>
    </row>
    <row r="488" spans="3:16" ht="15.75" customHeight="1" x14ac:dyDescent="0.2">
      <c r="C488" s="12"/>
      <c r="D488" s="13"/>
      <c r="E488" s="14"/>
      <c r="G488" s="16"/>
      <c r="H488" s="16"/>
      <c r="I488" s="16"/>
      <c r="M488" s="17"/>
      <c r="P488" s="8"/>
    </row>
    <row r="489" spans="3:16" ht="15.75" customHeight="1" x14ac:dyDescent="0.2">
      <c r="C489" s="12"/>
      <c r="D489" s="13"/>
      <c r="E489" s="14"/>
      <c r="G489" s="16"/>
      <c r="H489" s="16"/>
      <c r="I489" s="16"/>
      <c r="M489" s="17"/>
      <c r="P489" s="8"/>
    </row>
    <row r="490" spans="3:16" ht="15.75" customHeight="1" x14ac:dyDescent="0.2">
      <c r="C490" s="12"/>
      <c r="D490" s="13"/>
      <c r="E490" s="14"/>
      <c r="G490" s="16"/>
      <c r="H490" s="16"/>
      <c r="I490" s="16"/>
      <c r="M490" s="17"/>
      <c r="P490" s="8"/>
    </row>
    <row r="491" spans="3:16" ht="15.75" customHeight="1" x14ac:dyDescent="0.2">
      <c r="C491" s="12"/>
      <c r="D491" s="13"/>
      <c r="E491" s="14"/>
      <c r="G491" s="16"/>
      <c r="H491" s="16"/>
      <c r="I491" s="16"/>
      <c r="M491" s="17"/>
      <c r="P491" s="8"/>
    </row>
    <row r="492" spans="3:16" ht="15.75" customHeight="1" x14ac:dyDescent="0.2">
      <c r="C492" s="12"/>
      <c r="D492" s="13"/>
      <c r="E492" s="14"/>
      <c r="G492" s="16"/>
      <c r="H492" s="16"/>
      <c r="I492" s="16"/>
      <c r="M492" s="17"/>
      <c r="P492" s="8"/>
    </row>
    <row r="493" spans="3:16" ht="15.75" customHeight="1" x14ac:dyDescent="0.2">
      <c r="C493" s="12"/>
      <c r="D493" s="13"/>
      <c r="E493" s="14"/>
      <c r="G493" s="16"/>
      <c r="H493" s="16"/>
      <c r="I493" s="16"/>
      <c r="M493" s="17"/>
      <c r="P493" s="8"/>
    </row>
    <row r="494" spans="3:16" ht="15.75" customHeight="1" x14ac:dyDescent="0.2">
      <c r="C494" s="12"/>
      <c r="D494" s="13"/>
      <c r="E494" s="14"/>
      <c r="G494" s="16"/>
      <c r="H494" s="16"/>
      <c r="I494" s="16"/>
      <c r="M494" s="17"/>
      <c r="P494" s="8"/>
    </row>
    <row r="495" spans="3:16" ht="15.75" customHeight="1" x14ac:dyDescent="0.2">
      <c r="C495" s="12"/>
      <c r="D495" s="13"/>
      <c r="E495" s="14"/>
      <c r="G495" s="16"/>
      <c r="H495" s="16"/>
      <c r="I495" s="16"/>
      <c r="M495" s="17"/>
      <c r="P495" s="8"/>
    </row>
    <row r="496" spans="3:16" ht="15.75" customHeight="1" x14ac:dyDescent="0.2">
      <c r="C496" s="12"/>
      <c r="D496" s="13"/>
      <c r="E496" s="14"/>
      <c r="G496" s="16"/>
      <c r="H496" s="16"/>
      <c r="I496" s="16"/>
      <c r="M496" s="17"/>
      <c r="P496" s="8"/>
    </row>
    <row r="497" spans="3:16" ht="15.75" customHeight="1" x14ac:dyDescent="0.2">
      <c r="C497" s="12"/>
      <c r="D497" s="13"/>
      <c r="E497" s="14"/>
      <c r="G497" s="16"/>
      <c r="H497" s="16"/>
      <c r="I497" s="16"/>
      <c r="M497" s="17"/>
      <c r="P497" s="8"/>
    </row>
    <row r="498" spans="3:16" ht="15.75" customHeight="1" x14ac:dyDescent="0.2">
      <c r="C498" s="12"/>
      <c r="D498" s="13"/>
      <c r="E498" s="14"/>
      <c r="G498" s="16"/>
      <c r="H498" s="16"/>
      <c r="I498" s="16"/>
      <c r="M498" s="17"/>
      <c r="P498" s="8"/>
    </row>
    <row r="499" spans="3:16" ht="15.75" customHeight="1" x14ac:dyDescent="0.2">
      <c r="C499" s="12"/>
      <c r="D499" s="13"/>
      <c r="E499" s="14"/>
      <c r="G499" s="16"/>
      <c r="H499" s="16"/>
      <c r="I499" s="16"/>
      <c r="M499" s="17"/>
      <c r="P499" s="8"/>
    </row>
    <row r="500" spans="3:16" ht="15.75" customHeight="1" x14ac:dyDescent="0.2">
      <c r="C500" s="12"/>
      <c r="D500" s="13"/>
      <c r="E500" s="14"/>
      <c r="G500" s="16"/>
      <c r="H500" s="16"/>
      <c r="I500" s="16"/>
      <c r="M500" s="17"/>
      <c r="P500" s="8"/>
    </row>
    <row r="501" spans="3:16" ht="15.75" customHeight="1" x14ac:dyDescent="0.2">
      <c r="C501" s="12"/>
      <c r="D501" s="13"/>
      <c r="E501" s="14"/>
      <c r="G501" s="16"/>
      <c r="H501" s="16"/>
      <c r="I501" s="16"/>
      <c r="M501" s="17"/>
      <c r="P501" s="8"/>
    </row>
    <row r="502" spans="3:16" ht="15.75" customHeight="1" x14ac:dyDescent="0.2">
      <c r="C502" s="12"/>
      <c r="D502" s="13"/>
      <c r="E502" s="14"/>
      <c r="G502" s="16"/>
      <c r="H502" s="16"/>
      <c r="I502" s="16"/>
      <c r="M502" s="17"/>
      <c r="P502" s="8"/>
    </row>
    <row r="503" spans="3:16" ht="15.75" customHeight="1" x14ac:dyDescent="0.2">
      <c r="C503" s="12"/>
      <c r="D503" s="13"/>
      <c r="E503" s="14"/>
      <c r="G503" s="16"/>
      <c r="H503" s="16"/>
      <c r="I503" s="16"/>
      <c r="M503" s="17"/>
      <c r="P503" s="8"/>
    </row>
    <row r="504" spans="3:16" ht="15.75" customHeight="1" x14ac:dyDescent="0.2">
      <c r="C504" s="12"/>
      <c r="D504" s="13"/>
      <c r="E504" s="14"/>
      <c r="G504" s="16"/>
      <c r="H504" s="16"/>
      <c r="I504" s="16"/>
      <c r="M504" s="17"/>
      <c r="P504" s="8"/>
    </row>
    <row r="505" spans="3:16" ht="15.75" customHeight="1" x14ac:dyDescent="0.2">
      <c r="C505" s="12"/>
      <c r="D505" s="13"/>
      <c r="E505" s="14"/>
      <c r="G505" s="16"/>
      <c r="H505" s="16"/>
      <c r="I505" s="16"/>
      <c r="M505" s="17"/>
      <c r="P505" s="8"/>
    </row>
    <row r="506" spans="3:16" ht="15.75" customHeight="1" x14ac:dyDescent="0.2">
      <c r="C506" s="12"/>
      <c r="D506" s="13"/>
      <c r="E506" s="14"/>
      <c r="G506" s="16"/>
      <c r="H506" s="16"/>
      <c r="I506" s="16"/>
      <c r="M506" s="17"/>
      <c r="P506" s="8"/>
    </row>
    <row r="507" spans="3:16" ht="15.75" customHeight="1" x14ac:dyDescent="0.2">
      <c r="C507" s="12"/>
      <c r="D507" s="13"/>
      <c r="E507" s="14"/>
      <c r="G507" s="16"/>
      <c r="H507" s="16"/>
      <c r="I507" s="16"/>
      <c r="M507" s="17"/>
      <c r="P507" s="8"/>
    </row>
    <row r="508" spans="3:16" ht="15.75" customHeight="1" x14ac:dyDescent="0.2">
      <c r="C508" s="12"/>
      <c r="D508" s="13"/>
      <c r="E508" s="14"/>
      <c r="G508" s="16"/>
      <c r="H508" s="16"/>
      <c r="I508" s="16"/>
      <c r="M508" s="17"/>
      <c r="P508" s="8"/>
    </row>
    <row r="509" spans="3:16" ht="15.75" customHeight="1" x14ac:dyDescent="0.2">
      <c r="C509" s="12"/>
      <c r="D509" s="13"/>
      <c r="E509" s="14"/>
      <c r="G509" s="16"/>
      <c r="H509" s="16"/>
      <c r="I509" s="16"/>
      <c r="M509" s="17"/>
      <c r="P509" s="8"/>
    </row>
    <row r="510" spans="3:16" ht="15.75" customHeight="1" x14ac:dyDescent="0.2">
      <c r="C510" s="12"/>
      <c r="D510" s="13"/>
      <c r="E510" s="14"/>
      <c r="G510" s="16"/>
      <c r="H510" s="16"/>
      <c r="I510" s="16"/>
      <c r="M510" s="17"/>
      <c r="P510" s="8"/>
    </row>
    <row r="511" spans="3:16" ht="15.75" customHeight="1" x14ac:dyDescent="0.2">
      <c r="C511" s="12"/>
      <c r="D511" s="13"/>
      <c r="E511" s="14"/>
      <c r="G511" s="16"/>
      <c r="H511" s="16"/>
      <c r="I511" s="16"/>
      <c r="M511" s="17"/>
      <c r="P511" s="8"/>
    </row>
    <row r="512" spans="3:16" ht="15.75" customHeight="1" x14ac:dyDescent="0.2">
      <c r="C512" s="12"/>
      <c r="D512" s="13"/>
      <c r="E512" s="14"/>
      <c r="G512" s="16"/>
      <c r="H512" s="16"/>
      <c r="I512" s="16"/>
      <c r="M512" s="17"/>
      <c r="P512" s="8"/>
    </row>
    <row r="513" spans="3:16" ht="15.75" customHeight="1" x14ac:dyDescent="0.2">
      <c r="C513" s="12"/>
      <c r="D513" s="13"/>
      <c r="E513" s="14"/>
      <c r="G513" s="16"/>
      <c r="H513" s="16"/>
      <c r="I513" s="16"/>
      <c r="M513" s="17"/>
      <c r="P513" s="8"/>
    </row>
    <row r="514" spans="3:16" ht="15.75" customHeight="1" x14ac:dyDescent="0.2">
      <c r="C514" s="12"/>
      <c r="D514" s="13"/>
      <c r="E514" s="14"/>
      <c r="G514" s="16"/>
      <c r="H514" s="16"/>
      <c r="I514" s="16"/>
      <c r="M514" s="17"/>
      <c r="P514" s="8"/>
    </row>
    <row r="515" spans="3:16" ht="15.75" customHeight="1" x14ac:dyDescent="0.2">
      <c r="C515" s="12"/>
      <c r="D515" s="13"/>
      <c r="E515" s="14"/>
      <c r="G515" s="16"/>
      <c r="H515" s="16"/>
      <c r="I515" s="16"/>
      <c r="M515" s="17"/>
      <c r="P515" s="8"/>
    </row>
    <row r="516" spans="3:16" ht="15.75" customHeight="1" x14ac:dyDescent="0.2">
      <c r="C516" s="12"/>
      <c r="D516" s="13"/>
      <c r="E516" s="14"/>
      <c r="G516" s="16"/>
      <c r="H516" s="16"/>
      <c r="I516" s="16"/>
      <c r="M516" s="17"/>
      <c r="P516" s="8"/>
    </row>
    <row r="517" spans="3:16" ht="15.75" customHeight="1" x14ac:dyDescent="0.2">
      <c r="C517" s="12"/>
      <c r="D517" s="13"/>
      <c r="E517" s="14"/>
      <c r="G517" s="16"/>
      <c r="H517" s="16"/>
      <c r="I517" s="16"/>
      <c r="M517" s="17"/>
      <c r="P517" s="8"/>
    </row>
    <row r="518" spans="3:16" ht="15.75" customHeight="1" x14ac:dyDescent="0.2">
      <c r="C518" s="12"/>
      <c r="D518" s="13"/>
      <c r="E518" s="14"/>
      <c r="G518" s="16"/>
      <c r="H518" s="16"/>
      <c r="I518" s="16"/>
      <c r="M518" s="17"/>
      <c r="P518" s="8"/>
    </row>
    <row r="519" spans="3:16" ht="15.75" customHeight="1" x14ac:dyDescent="0.2">
      <c r="C519" s="12"/>
      <c r="D519" s="13"/>
      <c r="E519" s="14"/>
      <c r="G519" s="16"/>
      <c r="H519" s="16"/>
      <c r="I519" s="16"/>
      <c r="M519" s="17"/>
      <c r="P519" s="8"/>
    </row>
    <row r="520" spans="3:16" ht="15.75" customHeight="1" x14ac:dyDescent="0.2">
      <c r="C520" s="12"/>
      <c r="D520" s="13"/>
      <c r="E520" s="14"/>
      <c r="G520" s="16"/>
      <c r="H520" s="16"/>
      <c r="I520" s="16"/>
      <c r="M520" s="17"/>
      <c r="P520" s="8"/>
    </row>
    <row r="521" spans="3:16" ht="15.75" customHeight="1" x14ac:dyDescent="0.2">
      <c r="C521" s="12"/>
      <c r="D521" s="13"/>
      <c r="E521" s="14"/>
      <c r="G521" s="16"/>
      <c r="H521" s="16"/>
      <c r="I521" s="16"/>
      <c r="M521" s="17"/>
      <c r="P521" s="8"/>
    </row>
    <row r="522" spans="3:16" ht="15.75" customHeight="1" x14ac:dyDescent="0.2">
      <c r="C522" s="12"/>
      <c r="D522" s="13"/>
      <c r="E522" s="14"/>
      <c r="G522" s="16"/>
      <c r="H522" s="16"/>
      <c r="I522" s="16"/>
      <c r="M522" s="17"/>
      <c r="P522" s="8"/>
    </row>
    <row r="523" spans="3:16" ht="15.75" customHeight="1" x14ac:dyDescent="0.2">
      <c r="C523" s="12"/>
      <c r="D523" s="13"/>
      <c r="E523" s="14"/>
      <c r="G523" s="16"/>
      <c r="H523" s="16"/>
      <c r="I523" s="16"/>
      <c r="M523" s="17"/>
      <c r="P523" s="8"/>
    </row>
    <row r="524" spans="3:16" ht="15.75" customHeight="1" x14ac:dyDescent="0.2">
      <c r="C524" s="12"/>
      <c r="D524" s="13"/>
      <c r="E524" s="14"/>
      <c r="G524" s="16"/>
      <c r="H524" s="16"/>
      <c r="I524" s="16"/>
      <c r="M524" s="17"/>
      <c r="P524" s="8"/>
    </row>
    <row r="525" spans="3:16" ht="15.75" customHeight="1" x14ac:dyDescent="0.2">
      <c r="C525" s="12"/>
      <c r="D525" s="13"/>
      <c r="E525" s="14"/>
      <c r="G525" s="16"/>
      <c r="H525" s="16"/>
      <c r="I525" s="16"/>
      <c r="M525" s="17"/>
      <c r="P525" s="8"/>
    </row>
    <row r="526" spans="3:16" ht="15.75" customHeight="1" x14ac:dyDescent="0.2">
      <c r="C526" s="12"/>
      <c r="D526" s="13"/>
      <c r="E526" s="14"/>
      <c r="G526" s="16"/>
      <c r="H526" s="16"/>
      <c r="I526" s="16"/>
      <c r="M526" s="17"/>
      <c r="P526" s="8"/>
    </row>
    <row r="527" spans="3:16" ht="15.75" customHeight="1" x14ac:dyDescent="0.2">
      <c r="C527" s="12"/>
      <c r="D527" s="13"/>
      <c r="E527" s="14"/>
      <c r="G527" s="16"/>
      <c r="H527" s="16"/>
      <c r="I527" s="16"/>
      <c r="M527" s="17"/>
      <c r="P527" s="8"/>
    </row>
    <row r="528" spans="3:16" ht="15.75" customHeight="1" x14ac:dyDescent="0.2">
      <c r="C528" s="12"/>
      <c r="D528" s="13"/>
      <c r="E528" s="14"/>
      <c r="G528" s="16"/>
      <c r="H528" s="16"/>
      <c r="I528" s="16"/>
      <c r="M528" s="17"/>
      <c r="P528" s="8"/>
    </row>
    <row r="529" spans="3:16" ht="15.75" customHeight="1" x14ac:dyDescent="0.2">
      <c r="C529" s="12"/>
      <c r="D529" s="13"/>
      <c r="E529" s="14"/>
      <c r="G529" s="16"/>
      <c r="H529" s="16"/>
      <c r="I529" s="16"/>
      <c r="M529" s="17"/>
      <c r="P529" s="8"/>
    </row>
    <row r="530" spans="3:16" ht="15.75" customHeight="1" x14ac:dyDescent="0.2">
      <c r="C530" s="12"/>
      <c r="D530" s="13"/>
      <c r="E530" s="14"/>
      <c r="G530" s="16"/>
      <c r="H530" s="16"/>
      <c r="I530" s="16"/>
      <c r="M530" s="17"/>
      <c r="P530" s="8"/>
    </row>
    <row r="531" spans="3:16" ht="15.75" customHeight="1" x14ac:dyDescent="0.2">
      <c r="C531" s="12"/>
      <c r="D531" s="13"/>
      <c r="E531" s="14"/>
      <c r="G531" s="16"/>
      <c r="H531" s="16"/>
      <c r="I531" s="16"/>
      <c r="M531" s="17"/>
      <c r="P531" s="8"/>
    </row>
    <row r="532" spans="3:16" ht="15.75" customHeight="1" x14ac:dyDescent="0.2">
      <c r="C532" s="12"/>
      <c r="D532" s="13"/>
      <c r="E532" s="14"/>
      <c r="G532" s="16"/>
      <c r="H532" s="16"/>
      <c r="I532" s="16"/>
      <c r="M532" s="17"/>
      <c r="P532" s="8"/>
    </row>
    <row r="533" spans="3:16" ht="15.75" customHeight="1" x14ac:dyDescent="0.2">
      <c r="C533" s="12"/>
      <c r="D533" s="13"/>
      <c r="E533" s="14"/>
      <c r="G533" s="16"/>
      <c r="H533" s="16"/>
      <c r="I533" s="16"/>
      <c r="M533" s="17"/>
      <c r="P533" s="8"/>
    </row>
    <row r="534" spans="3:16" ht="15.75" customHeight="1" x14ac:dyDescent="0.2">
      <c r="C534" s="12"/>
      <c r="D534" s="13"/>
      <c r="E534" s="14"/>
      <c r="G534" s="16"/>
      <c r="H534" s="16"/>
      <c r="I534" s="16"/>
      <c r="M534" s="17"/>
      <c r="P534" s="8"/>
    </row>
    <row r="535" spans="3:16" ht="15.75" customHeight="1" x14ac:dyDescent="0.2">
      <c r="C535" s="12"/>
      <c r="D535" s="13"/>
      <c r="E535" s="14"/>
      <c r="G535" s="16"/>
      <c r="H535" s="16"/>
      <c r="I535" s="16"/>
      <c r="M535" s="17"/>
      <c r="P535" s="8"/>
    </row>
    <row r="536" spans="3:16" ht="15.75" customHeight="1" x14ac:dyDescent="0.2">
      <c r="C536" s="12"/>
      <c r="D536" s="13"/>
      <c r="E536" s="14"/>
      <c r="G536" s="16"/>
      <c r="H536" s="16"/>
      <c r="I536" s="16"/>
      <c r="M536" s="17"/>
      <c r="P536" s="8"/>
    </row>
    <row r="537" spans="3:16" ht="15.75" customHeight="1" x14ac:dyDescent="0.2">
      <c r="C537" s="12"/>
      <c r="D537" s="13"/>
      <c r="E537" s="14"/>
      <c r="G537" s="16"/>
      <c r="H537" s="16"/>
      <c r="I537" s="16"/>
      <c r="M537" s="17"/>
      <c r="P537" s="8"/>
    </row>
    <row r="538" spans="3:16" ht="15.75" customHeight="1" x14ac:dyDescent="0.2">
      <c r="C538" s="12"/>
      <c r="D538" s="13"/>
      <c r="E538" s="14"/>
      <c r="G538" s="16"/>
      <c r="H538" s="16"/>
      <c r="I538" s="16"/>
      <c r="M538" s="17"/>
      <c r="P538" s="8"/>
    </row>
    <row r="539" spans="3:16" ht="15.75" customHeight="1" x14ac:dyDescent="0.2">
      <c r="C539" s="12"/>
      <c r="D539" s="13"/>
      <c r="E539" s="14"/>
      <c r="G539" s="16"/>
      <c r="H539" s="16"/>
      <c r="I539" s="16"/>
      <c r="M539" s="17"/>
      <c r="P539" s="8"/>
    </row>
    <row r="540" spans="3:16" ht="15.75" customHeight="1" x14ac:dyDescent="0.2">
      <c r="C540" s="12"/>
      <c r="D540" s="13"/>
      <c r="E540" s="14"/>
      <c r="G540" s="16"/>
      <c r="H540" s="16"/>
      <c r="I540" s="16"/>
      <c r="M540" s="17"/>
      <c r="P540" s="8"/>
    </row>
    <row r="541" spans="3:16" ht="15.75" customHeight="1" x14ac:dyDescent="0.2">
      <c r="C541" s="12"/>
      <c r="D541" s="13"/>
      <c r="E541" s="14"/>
      <c r="G541" s="16"/>
      <c r="H541" s="16"/>
      <c r="I541" s="16"/>
      <c r="M541" s="17"/>
      <c r="P541" s="8"/>
    </row>
    <row r="542" spans="3:16" ht="15.75" customHeight="1" x14ac:dyDescent="0.2">
      <c r="C542" s="12"/>
      <c r="D542" s="13"/>
      <c r="E542" s="14"/>
      <c r="G542" s="16"/>
      <c r="H542" s="16"/>
      <c r="I542" s="16"/>
      <c r="M542" s="17"/>
      <c r="P542" s="8"/>
    </row>
    <row r="543" spans="3:16" ht="15.75" customHeight="1" x14ac:dyDescent="0.2">
      <c r="C543" s="12"/>
      <c r="D543" s="13"/>
      <c r="E543" s="14"/>
      <c r="G543" s="16"/>
      <c r="H543" s="16"/>
      <c r="I543" s="16"/>
      <c r="M543" s="17"/>
      <c r="P543" s="8"/>
    </row>
    <row r="544" spans="3:16" ht="15.75" customHeight="1" x14ac:dyDescent="0.2">
      <c r="C544" s="12"/>
      <c r="D544" s="13"/>
      <c r="E544" s="14"/>
      <c r="G544" s="16"/>
      <c r="H544" s="16"/>
      <c r="I544" s="16"/>
      <c r="M544" s="17"/>
      <c r="P544" s="8"/>
    </row>
    <row r="545" spans="3:16" ht="15.75" customHeight="1" x14ac:dyDescent="0.2">
      <c r="C545" s="12"/>
      <c r="D545" s="13"/>
      <c r="E545" s="14"/>
      <c r="G545" s="16"/>
      <c r="H545" s="16"/>
      <c r="I545" s="16"/>
      <c r="M545" s="17"/>
      <c r="P545" s="8"/>
    </row>
    <row r="546" spans="3:16" ht="15.75" customHeight="1" x14ac:dyDescent="0.2">
      <c r="C546" s="12"/>
      <c r="D546" s="13"/>
      <c r="E546" s="14"/>
      <c r="G546" s="16"/>
      <c r="H546" s="16"/>
      <c r="I546" s="16"/>
      <c r="M546" s="17"/>
      <c r="P546" s="8"/>
    </row>
    <row r="547" spans="3:16" ht="15.75" customHeight="1" x14ac:dyDescent="0.2">
      <c r="C547" s="12"/>
      <c r="D547" s="13"/>
      <c r="E547" s="14"/>
      <c r="G547" s="16"/>
      <c r="H547" s="16"/>
      <c r="I547" s="16"/>
      <c r="M547" s="17"/>
      <c r="P547" s="8"/>
    </row>
    <row r="548" spans="3:16" ht="15.75" customHeight="1" x14ac:dyDescent="0.2">
      <c r="C548" s="12"/>
      <c r="D548" s="13"/>
      <c r="E548" s="14"/>
      <c r="G548" s="16"/>
      <c r="H548" s="16"/>
      <c r="I548" s="16"/>
      <c r="M548" s="17"/>
      <c r="P548" s="8"/>
    </row>
    <row r="549" spans="3:16" ht="15.75" customHeight="1" x14ac:dyDescent="0.2">
      <c r="C549" s="12"/>
      <c r="D549" s="13"/>
      <c r="E549" s="14"/>
      <c r="G549" s="16"/>
      <c r="H549" s="16"/>
      <c r="I549" s="16"/>
      <c r="M549" s="17"/>
      <c r="P549" s="8"/>
    </row>
    <row r="550" spans="3:16" ht="15.75" customHeight="1" x14ac:dyDescent="0.2">
      <c r="C550" s="12"/>
      <c r="D550" s="13"/>
      <c r="E550" s="14"/>
      <c r="G550" s="16"/>
      <c r="H550" s="16"/>
      <c r="I550" s="16"/>
      <c r="M550" s="17"/>
      <c r="P550" s="8"/>
    </row>
    <row r="551" spans="3:16" ht="15.75" customHeight="1" x14ac:dyDescent="0.2">
      <c r="C551" s="12"/>
      <c r="D551" s="13"/>
      <c r="E551" s="14"/>
      <c r="G551" s="16"/>
      <c r="H551" s="16"/>
      <c r="I551" s="16"/>
      <c r="M551" s="17"/>
      <c r="P551" s="8"/>
    </row>
    <row r="552" spans="3:16" ht="15.75" customHeight="1" x14ac:dyDescent="0.2">
      <c r="C552" s="12"/>
      <c r="D552" s="13"/>
      <c r="E552" s="14"/>
      <c r="G552" s="16"/>
      <c r="H552" s="16"/>
      <c r="I552" s="16"/>
      <c r="M552" s="17"/>
      <c r="P552" s="8"/>
    </row>
    <row r="553" spans="3:16" ht="15.75" customHeight="1" x14ac:dyDescent="0.2">
      <c r="C553" s="12"/>
      <c r="D553" s="13"/>
      <c r="E553" s="14"/>
      <c r="G553" s="16"/>
      <c r="H553" s="16"/>
      <c r="I553" s="16"/>
      <c r="M553" s="17"/>
      <c r="P553" s="8"/>
    </row>
    <row r="554" spans="3:16" ht="15.75" customHeight="1" x14ac:dyDescent="0.2">
      <c r="C554" s="12"/>
      <c r="D554" s="13"/>
      <c r="E554" s="14"/>
      <c r="G554" s="16"/>
      <c r="H554" s="16"/>
      <c r="I554" s="16"/>
      <c r="M554" s="17"/>
      <c r="P554" s="8"/>
    </row>
    <row r="555" spans="3:16" ht="15.75" customHeight="1" x14ac:dyDescent="0.2">
      <c r="C555" s="12"/>
      <c r="D555" s="13"/>
      <c r="E555" s="14"/>
      <c r="G555" s="16"/>
      <c r="H555" s="16"/>
      <c r="I555" s="16"/>
      <c r="M555" s="17"/>
      <c r="P555" s="8"/>
    </row>
    <row r="556" spans="3:16" ht="15.75" customHeight="1" x14ac:dyDescent="0.2">
      <c r="C556" s="12"/>
      <c r="D556" s="13"/>
      <c r="E556" s="14"/>
      <c r="G556" s="16"/>
      <c r="H556" s="16"/>
      <c r="I556" s="16"/>
      <c r="M556" s="17"/>
      <c r="P556" s="8"/>
    </row>
    <row r="557" spans="3:16" ht="15.75" customHeight="1" x14ac:dyDescent="0.2">
      <c r="C557" s="12"/>
      <c r="D557" s="13"/>
      <c r="E557" s="14"/>
      <c r="G557" s="16"/>
      <c r="H557" s="16"/>
      <c r="I557" s="16"/>
      <c r="M557" s="17"/>
      <c r="P557" s="8"/>
    </row>
    <row r="558" spans="3:16" ht="15.75" customHeight="1" x14ac:dyDescent="0.2">
      <c r="C558" s="12"/>
      <c r="D558" s="13"/>
      <c r="E558" s="14"/>
      <c r="G558" s="16"/>
      <c r="H558" s="16"/>
      <c r="I558" s="16"/>
      <c r="M558" s="17"/>
      <c r="P558" s="8"/>
    </row>
    <row r="559" spans="3:16" ht="15.75" customHeight="1" x14ac:dyDescent="0.2">
      <c r="C559" s="12"/>
      <c r="D559" s="13"/>
      <c r="E559" s="14"/>
      <c r="G559" s="16"/>
      <c r="H559" s="16"/>
      <c r="I559" s="16"/>
      <c r="M559" s="17"/>
      <c r="P559" s="8"/>
    </row>
    <row r="560" spans="3:16" ht="15.75" customHeight="1" x14ac:dyDescent="0.2">
      <c r="C560" s="12"/>
      <c r="D560" s="13"/>
      <c r="E560" s="14"/>
      <c r="G560" s="16"/>
      <c r="H560" s="16"/>
      <c r="I560" s="16"/>
      <c r="M560" s="17"/>
      <c r="P560" s="8"/>
    </row>
    <row r="561" spans="3:16" ht="15.75" customHeight="1" x14ac:dyDescent="0.2">
      <c r="C561" s="12"/>
      <c r="D561" s="13"/>
      <c r="E561" s="14"/>
      <c r="G561" s="16"/>
      <c r="H561" s="16"/>
      <c r="I561" s="16"/>
      <c r="M561" s="17"/>
      <c r="P561" s="8"/>
    </row>
    <row r="562" spans="3:16" ht="15.75" customHeight="1" x14ac:dyDescent="0.2">
      <c r="C562" s="12"/>
      <c r="D562" s="13"/>
      <c r="E562" s="14"/>
      <c r="G562" s="16"/>
      <c r="H562" s="16"/>
      <c r="I562" s="16"/>
      <c r="M562" s="17"/>
      <c r="P562" s="8"/>
    </row>
    <row r="563" spans="3:16" ht="15.75" customHeight="1" x14ac:dyDescent="0.2">
      <c r="C563" s="12"/>
      <c r="D563" s="13"/>
      <c r="E563" s="14"/>
      <c r="G563" s="16"/>
      <c r="H563" s="16"/>
      <c r="I563" s="16"/>
      <c r="M563" s="17"/>
      <c r="P563" s="8"/>
    </row>
    <row r="564" spans="3:16" ht="15.75" customHeight="1" x14ac:dyDescent="0.2">
      <c r="C564" s="12"/>
      <c r="D564" s="13"/>
      <c r="E564" s="14"/>
      <c r="G564" s="16"/>
      <c r="H564" s="16"/>
      <c r="I564" s="16"/>
      <c r="M564" s="17"/>
      <c r="P564" s="8"/>
    </row>
    <row r="565" spans="3:16" ht="15.75" customHeight="1" x14ac:dyDescent="0.2">
      <c r="C565" s="12"/>
      <c r="D565" s="13"/>
      <c r="E565" s="14"/>
      <c r="G565" s="16"/>
      <c r="H565" s="16"/>
      <c r="I565" s="16"/>
      <c r="M565" s="17"/>
      <c r="P565" s="8"/>
    </row>
    <row r="566" spans="3:16" ht="15.75" customHeight="1" x14ac:dyDescent="0.2">
      <c r="C566" s="12"/>
      <c r="D566" s="13"/>
      <c r="E566" s="14"/>
      <c r="G566" s="16"/>
      <c r="H566" s="16"/>
      <c r="I566" s="16"/>
      <c r="M566" s="17"/>
      <c r="P566" s="8"/>
    </row>
    <row r="567" spans="3:16" ht="15.75" customHeight="1" x14ac:dyDescent="0.2">
      <c r="C567" s="12"/>
      <c r="D567" s="13"/>
      <c r="E567" s="14"/>
      <c r="G567" s="16"/>
      <c r="H567" s="16"/>
      <c r="I567" s="16"/>
      <c r="M567" s="17"/>
      <c r="P567" s="8"/>
    </row>
    <row r="568" spans="3:16" ht="15.75" customHeight="1" x14ac:dyDescent="0.2">
      <c r="C568" s="12"/>
      <c r="D568" s="13"/>
      <c r="E568" s="14"/>
      <c r="G568" s="16"/>
      <c r="H568" s="16"/>
      <c r="I568" s="16"/>
      <c r="M568" s="17"/>
      <c r="P568" s="8"/>
    </row>
    <row r="569" spans="3:16" ht="15.75" customHeight="1" x14ac:dyDescent="0.2">
      <c r="C569" s="12"/>
      <c r="D569" s="13"/>
      <c r="E569" s="14"/>
      <c r="G569" s="16"/>
      <c r="H569" s="16"/>
      <c r="I569" s="16"/>
      <c r="M569" s="17"/>
      <c r="P569" s="8"/>
    </row>
    <row r="570" spans="3:16" ht="15.75" customHeight="1" x14ac:dyDescent="0.2">
      <c r="C570" s="12"/>
      <c r="D570" s="13"/>
      <c r="E570" s="14"/>
      <c r="G570" s="16"/>
      <c r="H570" s="16"/>
      <c r="I570" s="16"/>
      <c r="M570" s="17"/>
      <c r="P570" s="8"/>
    </row>
    <row r="571" spans="3:16" ht="15.75" customHeight="1" x14ac:dyDescent="0.2">
      <c r="C571" s="12"/>
      <c r="D571" s="13"/>
      <c r="E571" s="14"/>
      <c r="G571" s="16"/>
      <c r="H571" s="16"/>
      <c r="I571" s="16"/>
      <c r="M571" s="17"/>
      <c r="P571" s="8"/>
    </row>
    <row r="572" spans="3:16" ht="15.75" customHeight="1" x14ac:dyDescent="0.2">
      <c r="C572" s="12"/>
      <c r="D572" s="13"/>
      <c r="E572" s="14"/>
      <c r="G572" s="16"/>
      <c r="H572" s="16"/>
      <c r="I572" s="16"/>
      <c r="M572" s="17"/>
      <c r="P572" s="8"/>
    </row>
    <row r="573" spans="3:16" ht="15.75" customHeight="1" x14ac:dyDescent="0.2">
      <c r="C573" s="12"/>
      <c r="D573" s="13"/>
      <c r="E573" s="14"/>
      <c r="G573" s="16"/>
      <c r="H573" s="16"/>
      <c r="I573" s="16"/>
      <c r="M573" s="17"/>
      <c r="P573" s="8"/>
    </row>
    <row r="574" spans="3:16" ht="15.75" customHeight="1" x14ac:dyDescent="0.2">
      <c r="C574" s="12"/>
      <c r="D574" s="13"/>
      <c r="E574" s="14"/>
      <c r="G574" s="16"/>
      <c r="H574" s="16"/>
      <c r="I574" s="16"/>
      <c r="M574" s="17"/>
      <c r="P574" s="8"/>
    </row>
    <row r="575" spans="3:16" ht="15.75" customHeight="1" x14ac:dyDescent="0.2">
      <c r="C575" s="12"/>
      <c r="D575" s="13"/>
      <c r="E575" s="14"/>
      <c r="G575" s="16"/>
      <c r="H575" s="16"/>
      <c r="I575" s="16"/>
      <c r="M575" s="17"/>
      <c r="P575" s="8"/>
    </row>
    <row r="576" spans="3:16" ht="15.75" customHeight="1" x14ac:dyDescent="0.2">
      <c r="C576" s="12"/>
      <c r="D576" s="13"/>
      <c r="E576" s="14"/>
      <c r="G576" s="16"/>
      <c r="H576" s="16"/>
      <c r="I576" s="16"/>
      <c r="M576" s="17"/>
      <c r="P576" s="8"/>
    </row>
    <row r="577" spans="3:16" ht="15.75" customHeight="1" x14ac:dyDescent="0.2">
      <c r="C577" s="12"/>
      <c r="D577" s="13"/>
      <c r="E577" s="14"/>
      <c r="G577" s="16"/>
      <c r="H577" s="16"/>
      <c r="I577" s="16"/>
      <c r="M577" s="17"/>
      <c r="P577" s="8"/>
    </row>
    <row r="578" spans="3:16" ht="15.75" customHeight="1" x14ac:dyDescent="0.2">
      <c r="C578" s="12"/>
      <c r="D578" s="13"/>
      <c r="E578" s="14"/>
      <c r="G578" s="16"/>
      <c r="H578" s="16"/>
      <c r="I578" s="16"/>
      <c r="M578" s="17"/>
      <c r="P578" s="8"/>
    </row>
    <row r="579" spans="3:16" ht="15.75" customHeight="1" x14ac:dyDescent="0.2">
      <c r="C579" s="12"/>
      <c r="D579" s="13"/>
      <c r="E579" s="14"/>
      <c r="G579" s="16"/>
      <c r="H579" s="16"/>
      <c r="I579" s="16"/>
      <c r="M579" s="17"/>
      <c r="P579" s="8"/>
    </row>
    <row r="580" spans="3:16" ht="15.75" customHeight="1" x14ac:dyDescent="0.2">
      <c r="C580" s="12"/>
      <c r="D580" s="13"/>
      <c r="E580" s="14"/>
      <c r="G580" s="16"/>
      <c r="H580" s="16"/>
      <c r="I580" s="16"/>
      <c r="M580" s="17"/>
      <c r="P580" s="8"/>
    </row>
    <row r="581" spans="3:16" ht="15.75" customHeight="1" x14ac:dyDescent="0.2">
      <c r="C581" s="12"/>
      <c r="D581" s="13"/>
      <c r="E581" s="14"/>
      <c r="G581" s="16"/>
      <c r="H581" s="16"/>
      <c r="I581" s="16"/>
      <c r="M581" s="17"/>
      <c r="P581" s="8"/>
    </row>
    <row r="582" spans="3:16" ht="15.75" customHeight="1" x14ac:dyDescent="0.2">
      <c r="C582" s="12"/>
      <c r="D582" s="13"/>
      <c r="E582" s="14"/>
      <c r="G582" s="16"/>
      <c r="H582" s="16"/>
      <c r="I582" s="16"/>
      <c r="M582" s="17"/>
      <c r="P582" s="8"/>
    </row>
    <row r="583" spans="3:16" ht="15.75" customHeight="1" x14ac:dyDescent="0.2">
      <c r="C583" s="12"/>
      <c r="D583" s="13"/>
      <c r="E583" s="14"/>
      <c r="G583" s="16"/>
      <c r="H583" s="16"/>
      <c r="I583" s="16"/>
      <c r="M583" s="17"/>
      <c r="P583" s="8"/>
    </row>
    <row r="584" spans="3:16" ht="15.75" customHeight="1" x14ac:dyDescent="0.2">
      <c r="C584" s="12"/>
      <c r="D584" s="13"/>
      <c r="E584" s="14"/>
      <c r="G584" s="16"/>
      <c r="H584" s="16"/>
      <c r="I584" s="16"/>
      <c r="M584" s="17"/>
      <c r="P584" s="8"/>
    </row>
    <row r="585" spans="3:16" ht="15.75" customHeight="1" x14ac:dyDescent="0.2">
      <c r="C585" s="12"/>
      <c r="D585" s="13"/>
      <c r="E585" s="14"/>
      <c r="G585" s="16"/>
      <c r="H585" s="16"/>
      <c r="I585" s="16"/>
      <c r="M585" s="17"/>
      <c r="P585" s="8"/>
    </row>
    <row r="586" spans="3:16" ht="15.75" customHeight="1" x14ac:dyDescent="0.2">
      <c r="C586" s="12"/>
      <c r="D586" s="13"/>
      <c r="E586" s="14"/>
      <c r="G586" s="16"/>
      <c r="H586" s="16"/>
      <c r="I586" s="16"/>
      <c r="M586" s="17"/>
      <c r="P586" s="8"/>
    </row>
    <row r="587" spans="3:16" ht="15.75" customHeight="1" x14ac:dyDescent="0.2">
      <c r="C587" s="12"/>
      <c r="D587" s="13"/>
      <c r="E587" s="14"/>
      <c r="G587" s="16"/>
      <c r="H587" s="16"/>
      <c r="I587" s="16"/>
      <c r="M587" s="17"/>
      <c r="P587" s="8"/>
    </row>
    <row r="588" spans="3:16" ht="15.75" customHeight="1" x14ac:dyDescent="0.2">
      <c r="C588" s="12"/>
      <c r="D588" s="13"/>
      <c r="E588" s="14"/>
      <c r="G588" s="16"/>
      <c r="H588" s="16"/>
      <c r="I588" s="16"/>
      <c r="M588" s="17"/>
      <c r="P588" s="8"/>
    </row>
    <row r="589" spans="3:16" ht="15.75" customHeight="1" x14ac:dyDescent="0.2">
      <c r="C589" s="12"/>
      <c r="D589" s="13"/>
      <c r="E589" s="14"/>
      <c r="G589" s="16"/>
      <c r="H589" s="16"/>
      <c r="I589" s="16"/>
      <c r="M589" s="17"/>
      <c r="P589" s="8"/>
    </row>
    <row r="590" spans="3:16" ht="15.75" customHeight="1" x14ac:dyDescent="0.2">
      <c r="C590" s="12"/>
      <c r="D590" s="13"/>
      <c r="E590" s="14"/>
      <c r="G590" s="16"/>
      <c r="H590" s="16"/>
      <c r="I590" s="16"/>
      <c r="M590" s="17"/>
      <c r="P590" s="8"/>
    </row>
    <row r="591" spans="3:16" ht="15.75" customHeight="1" x14ac:dyDescent="0.2">
      <c r="C591" s="12"/>
      <c r="D591" s="13"/>
      <c r="E591" s="14"/>
      <c r="G591" s="16"/>
      <c r="H591" s="16"/>
      <c r="I591" s="16"/>
      <c r="M591" s="17"/>
      <c r="P591" s="8"/>
    </row>
    <row r="592" spans="3:16" ht="15.75" customHeight="1" x14ac:dyDescent="0.2">
      <c r="C592" s="12"/>
      <c r="D592" s="13"/>
      <c r="E592" s="14"/>
      <c r="G592" s="16"/>
      <c r="H592" s="16"/>
      <c r="I592" s="16"/>
      <c r="M592" s="17"/>
      <c r="P592" s="8"/>
    </row>
    <row r="593" spans="3:16" ht="15.75" customHeight="1" x14ac:dyDescent="0.2">
      <c r="C593" s="12"/>
      <c r="D593" s="13"/>
      <c r="E593" s="14"/>
      <c r="G593" s="16"/>
      <c r="H593" s="16"/>
      <c r="I593" s="16"/>
      <c r="M593" s="17"/>
      <c r="P593" s="8"/>
    </row>
    <row r="594" spans="3:16" ht="15.75" customHeight="1" x14ac:dyDescent="0.2">
      <c r="C594" s="12"/>
      <c r="D594" s="13"/>
      <c r="E594" s="14"/>
      <c r="G594" s="16"/>
      <c r="H594" s="16"/>
      <c r="I594" s="16"/>
      <c r="M594" s="17"/>
      <c r="P594" s="8"/>
    </row>
    <row r="595" spans="3:16" ht="15.75" customHeight="1" x14ac:dyDescent="0.2">
      <c r="C595" s="12"/>
      <c r="D595" s="13"/>
      <c r="E595" s="14"/>
      <c r="G595" s="16"/>
      <c r="H595" s="16"/>
      <c r="I595" s="16"/>
      <c r="M595" s="17"/>
      <c r="P595" s="8"/>
    </row>
    <row r="596" spans="3:16" ht="15.75" customHeight="1" x14ac:dyDescent="0.2">
      <c r="C596" s="12"/>
      <c r="D596" s="13"/>
      <c r="E596" s="14"/>
      <c r="G596" s="16"/>
      <c r="H596" s="16"/>
      <c r="I596" s="16"/>
      <c r="M596" s="17"/>
      <c r="P596" s="8"/>
    </row>
    <row r="597" spans="3:16" ht="15.75" customHeight="1" x14ac:dyDescent="0.2">
      <c r="C597" s="12"/>
      <c r="D597" s="13"/>
      <c r="E597" s="14"/>
      <c r="G597" s="16"/>
      <c r="H597" s="16"/>
      <c r="I597" s="16"/>
      <c r="M597" s="17"/>
      <c r="P597" s="8"/>
    </row>
    <row r="598" spans="3:16" ht="15.75" customHeight="1" x14ac:dyDescent="0.2">
      <c r="C598" s="12"/>
      <c r="D598" s="13"/>
      <c r="E598" s="14"/>
      <c r="G598" s="16"/>
      <c r="H598" s="16"/>
      <c r="I598" s="16"/>
      <c r="M598" s="17"/>
      <c r="P598" s="8"/>
    </row>
    <row r="599" spans="3:16" ht="15.75" customHeight="1" x14ac:dyDescent="0.2">
      <c r="C599" s="12"/>
      <c r="D599" s="13"/>
      <c r="E599" s="14"/>
      <c r="G599" s="16"/>
      <c r="H599" s="16"/>
      <c r="I599" s="16"/>
      <c r="M599" s="17"/>
      <c r="P599" s="8"/>
    </row>
    <row r="600" spans="3:16" ht="15.75" customHeight="1" x14ac:dyDescent="0.2">
      <c r="C600" s="12"/>
      <c r="D600" s="13"/>
      <c r="E600" s="14"/>
      <c r="G600" s="16"/>
      <c r="H600" s="16"/>
      <c r="I600" s="16"/>
      <c r="M600" s="17"/>
      <c r="P600" s="8"/>
    </row>
    <row r="601" spans="3:16" ht="15.75" customHeight="1" x14ac:dyDescent="0.2">
      <c r="C601" s="12"/>
      <c r="D601" s="13"/>
      <c r="E601" s="14"/>
      <c r="G601" s="16"/>
      <c r="H601" s="16"/>
      <c r="I601" s="16"/>
      <c r="M601" s="17"/>
      <c r="P601" s="8"/>
    </row>
    <row r="602" spans="3:16" ht="15.75" customHeight="1" x14ac:dyDescent="0.2">
      <c r="C602" s="12"/>
      <c r="D602" s="13"/>
      <c r="E602" s="14"/>
      <c r="G602" s="16"/>
      <c r="H602" s="16"/>
      <c r="I602" s="16"/>
      <c r="M602" s="17"/>
      <c r="P602" s="8"/>
    </row>
    <row r="603" spans="3:16" ht="15.75" customHeight="1" x14ac:dyDescent="0.2">
      <c r="C603" s="12"/>
      <c r="D603" s="13"/>
      <c r="E603" s="14"/>
      <c r="G603" s="16"/>
      <c r="H603" s="16"/>
      <c r="I603" s="16"/>
      <c r="M603" s="17"/>
      <c r="P603" s="8"/>
    </row>
    <row r="604" spans="3:16" ht="15.75" customHeight="1" x14ac:dyDescent="0.2">
      <c r="C604" s="12"/>
      <c r="D604" s="13"/>
      <c r="E604" s="14"/>
      <c r="G604" s="16"/>
      <c r="H604" s="16"/>
      <c r="I604" s="16"/>
      <c r="M604" s="17"/>
      <c r="P604" s="8"/>
    </row>
    <row r="605" spans="3:16" ht="15.75" customHeight="1" x14ac:dyDescent="0.2">
      <c r="C605" s="12"/>
      <c r="D605" s="13"/>
      <c r="E605" s="14"/>
      <c r="G605" s="16"/>
      <c r="H605" s="16"/>
      <c r="I605" s="16"/>
      <c r="M605" s="17"/>
      <c r="P605" s="8"/>
    </row>
    <row r="606" spans="3:16" ht="15.75" customHeight="1" x14ac:dyDescent="0.2">
      <c r="C606" s="12"/>
      <c r="D606" s="13"/>
      <c r="E606" s="14"/>
      <c r="G606" s="16"/>
      <c r="H606" s="16"/>
      <c r="I606" s="16"/>
      <c r="M606" s="17"/>
      <c r="P606" s="8"/>
    </row>
    <row r="607" spans="3:16" ht="15.75" customHeight="1" x14ac:dyDescent="0.2">
      <c r="C607" s="12"/>
      <c r="D607" s="13"/>
      <c r="E607" s="14"/>
      <c r="G607" s="16"/>
      <c r="H607" s="16"/>
      <c r="I607" s="16"/>
      <c r="M607" s="17"/>
      <c r="P607" s="8"/>
    </row>
    <row r="608" spans="3:16" ht="15.75" customHeight="1" x14ac:dyDescent="0.2">
      <c r="C608" s="12"/>
      <c r="D608" s="13"/>
      <c r="E608" s="14"/>
      <c r="G608" s="16"/>
      <c r="H608" s="16"/>
      <c r="I608" s="16"/>
      <c r="M608" s="17"/>
      <c r="P608" s="8"/>
    </row>
    <row r="609" spans="3:16" ht="15.75" customHeight="1" x14ac:dyDescent="0.2">
      <c r="C609" s="12"/>
      <c r="D609" s="13"/>
      <c r="E609" s="14"/>
      <c r="G609" s="16"/>
      <c r="H609" s="16"/>
      <c r="I609" s="16"/>
      <c r="M609" s="17"/>
      <c r="P609" s="8"/>
    </row>
    <row r="610" spans="3:16" ht="15.75" customHeight="1" x14ac:dyDescent="0.2">
      <c r="C610" s="12"/>
      <c r="D610" s="13"/>
      <c r="E610" s="14"/>
      <c r="G610" s="16"/>
      <c r="H610" s="16"/>
      <c r="I610" s="16"/>
      <c r="M610" s="17"/>
      <c r="P610" s="8"/>
    </row>
    <row r="611" spans="3:16" ht="15.75" customHeight="1" x14ac:dyDescent="0.2">
      <c r="C611" s="12"/>
      <c r="D611" s="13"/>
      <c r="E611" s="14"/>
      <c r="G611" s="16"/>
      <c r="H611" s="16"/>
      <c r="I611" s="16"/>
      <c r="M611" s="17"/>
      <c r="P611" s="8"/>
    </row>
    <row r="612" spans="3:16" ht="15.75" customHeight="1" x14ac:dyDescent="0.2">
      <c r="C612" s="12"/>
      <c r="D612" s="13"/>
      <c r="E612" s="14"/>
      <c r="G612" s="16"/>
      <c r="H612" s="16"/>
      <c r="I612" s="16"/>
      <c r="M612" s="17"/>
      <c r="P612" s="8"/>
    </row>
    <row r="613" spans="3:16" ht="15.75" customHeight="1" x14ac:dyDescent="0.2">
      <c r="C613" s="12"/>
      <c r="D613" s="13"/>
      <c r="E613" s="14"/>
      <c r="G613" s="16"/>
      <c r="H613" s="16"/>
      <c r="I613" s="16"/>
      <c r="M613" s="17"/>
      <c r="P613" s="8"/>
    </row>
    <row r="614" spans="3:16" ht="15.75" customHeight="1" x14ac:dyDescent="0.2">
      <c r="C614" s="12"/>
      <c r="D614" s="13"/>
      <c r="E614" s="14"/>
      <c r="G614" s="16"/>
      <c r="H614" s="16"/>
      <c r="I614" s="16"/>
      <c r="M614" s="17"/>
      <c r="P614" s="8"/>
    </row>
    <row r="615" spans="3:16" ht="15.75" customHeight="1" x14ac:dyDescent="0.2">
      <c r="C615" s="12"/>
      <c r="D615" s="13"/>
      <c r="E615" s="14"/>
      <c r="G615" s="16"/>
      <c r="H615" s="16"/>
      <c r="I615" s="16"/>
      <c r="M615" s="17"/>
      <c r="P615" s="8"/>
    </row>
    <row r="616" spans="3:16" ht="15.75" customHeight="1" x14ac:dyDescent="0.2">
      <c r="C616" s="12"/>
      <c r="D616" s="13"/>
      <c r="E616" s="14"/>
      <c r="G616" s="16"/>
      <c r="H616" s="16"/>
      <c r="I616" s="16"/>
      <c r="M616" s="17"/>
      <c r="P616" s="8"/>
    </row>
    <row r="617" spans="3:16" ht="15.75" customHeight="1" x14ac:dyDescent="0.2">
      <c r="C617" s="12"/>
      <c r="D617" s="13"/>
      <c r="E617" s="14"/>
      <c r="G617" s="16"/>
      <c r="H617" s="16"/>
      <c r="I617" s="16"/>
      <c r="M617" s="17"/>
      <c r="P617" s="8"/>
    </row>
    <row r="618" spans="3:16" ht="15.75" customHeight="1" x14ac:dyDescent="0.2">
      <c r="C618" s="12"/>
      <c r="D618" s="13"/>
      <c r="E618" s="14"/>
      <c r="G618" s="16"/>
      <c r="H618" s="16"/>
      <c r="I618" s="16"/>
      <c r="M618" s="17"/>
      <c r="P618" s="8"/>
    </row>
    <row r="619" spans="3:16" ht="15.75" customHeight="1" x14ac:dyDescent="0.2">
      <c r="C619" s="12"/>
      <c r="D619" s="13"/>
      <c r="E619" s="14"/>
      <c r="G619" s="16"/>
      <c r="H619" s="16"/>
      <c r="I619" s="16"/>
      <c r="M619" s="17"/>
      <c r="P619" s="8"/>
    </row>
    <row r="620" spans="3:16" ht="15.75" customHeight="1" x14ac:dyDescent="0.2">
      <c r="C620" s="12"/>
      <c r="D620" s="13"/>
      <c r="E620" s="14"/>
      <c r="G620" s="16"/>
      <c r="H620" s="16"/>
      <c r="I620" s="16"/>
      <c r="M620" s="17"/>
      <c r="P620" s="8"/>
    </row>
    <row r="621" spans="3:16" ht="15.75" customHeight="1" x14ac:dyDescent="0.2">
      <c r="C621" s="12"/>
      <c r="D621" s="13"/>
      <c r="E621" s="14"/>
      <c r="G621" s="16"/>
      <c r="H621" s="16"/>
      <c r="I621" s="16"/>
      <c r="M621" s="17"/>
      <c r="P621" s="8"/>
    </row>
    <row r="622" spans="3:16" ht="15.75" customHeight="1" x14ac:dyDescent="0.2">
      <c r="C622" s="12"/>
      <c r="D622" s="13"/>
      <c r="E622" s="14"/>
      <c r="G622" s="16"/>
      <c r="H622" s="16"/>
      <c r="I622" s="16"/>
      <c r="M622" s="17"/>
      <c r="P622" s="8"/>
    </row>
    <row r="623" spans="3:16" ht="15.75" customHeight="1" x14ac:dyDescent="0.2">
      <c r="C623" s="12"/>
      <c r="D623" s="13"/>
      <c r="E623" s="14"/>
      <c r="G623" s="16"/>
      <c r="H623" s="16"/>
      <c r="I623" s="16"/>
      <c r="M623" s="17"/>
      <c r="P623" s="8"/>
    </row>
    <row r="624" spans="3:16" ht="15.75" customHeight="1" x14ac:dyDescent="0.2">
      <c r="C624" s="12"/>
      <c r="D624" s="13"/>
      <c r="E624" s="14"/>
      <c r="G624" s="16"/>
      <c r="H624" s="16"/>
      <c r="I624" s="16"/>
      <c r="M624" s="17"/>
      <c r="P624" s="8"/>
    </row>
    <row r="625" spans="3:16" ht="15.75" customHeight="1" x14ac:dyDescent="0.2">
      <c r="C625" s="12"/>
      <c r="D625" s="13"/>
      <c r="E625" s="14"/>
      <c r="G625" s="16"/>
      <c r="H625" s="16"/>
      <c r="I625" s="16"/>
      <c r="M625" s="17"/>
      <c r="P625" s="8"/>
    </row>
    <row r="626" spans="3:16" ht="15.75" customHeight="1" x14ac:dyDescent="0.2">
      <c r="C626" s="12"/>
      <c r="D626" s="13"/>
      <c r="E626" s="14"/>
      <c r="G626" s="16"/>
      <c r="H626" s="16"/>
      <c r="I626" s="16"/>
      <c r="M626" s="17"/>
      <c r="P626" s="8"/>
    </row>
    <row r="627" spans="3:16" ht="15.75" customHeight="1" x14ac:dyDescent="0.2">
      <c r="C627" s="12"/>
      <c r="D627" s="13"/>
      <c r="E627" s="14"/>
      <c r="G627" s="16"/>
      <c r="H627" s="16"/>
      <c r="I627" s="16"/>
      <c r="M627" s="17"/>
      <c r="P627" s="8"/>
    </row>
    <row r="628" spans="3:16" ht="15.75" customHeight="1" x14ac:dyDescent="0.2">
      <c r="C628" s="12"/>
      <c r="D628" s="13"/>
      <c r="E628" s="14"/>
      <c r="G628" s="16"/>
      <c r="H628" s="16"/>
      <c r="I628" s="16"/>
      <c r="M628" s="17"/>
      <c r="P628" s="8"/>
    </row>
    <row r="629" spans="3:16" ht="15.75" customHeight="1" x14ac:dyDescent="0.2">
      <c r="C629" s="12"/>
      <c r="D629" s="13"/>
      <c r="E629" s="14"/>
      <c r="G629" s="16"/>
      <c r="H629" s="16"/>
      <c r="I629" s="16"/>
      <c r="M629" s="17"/>
      <c r="P629" s="8"/>
    </row>
    <row r="630" spans="3:16" ht="15.75" customHeight="1" x14ac:dyDescent="0.2">
      <c r="C630" s="12"/>
      <c r="D630" s="13"/>
      <c r="E630" s="14"/>
      <c r="G630" s="16"/>
      <c r="H630" s="16"/>
      <c r="I630" s="16"/>
      <c r="M630" s="17"/>
      <c r="P630" s="8"/>
    </row>
    <row r="631" spans="3:16" ht="15.75" customHeight="1" x14ac:dyDescent="0.2">
      <c r="C631" s="12"/>
      <c r="D631" s="13"/>
      <c r="E631" s="14"/>
      <c r="G631" s="16"/>
      <c r="H631" s="16"/>
      <c r="I631" s="16"/>
      <c r="M631" s="17"/>
      <c r="P631" s="8"/>
    </row>
    <row r="632" spans="3:16" ht="15.75" customHeight="1" x14ac:dyDescent="0.2">
      <c r="C632" s="12"/>
      <c r="D632" s="13"/>
      <c r="E632" s="14"/>
      <c r="G632" s="16"/>
      <c r="H632" s="16"/>
      <c r="I632" s="16"/>
      <c r="M632" s="17"/>
      <c r="P632" s="8"/>
    </row>
    <row r="633" spans="3:16" ht="15.75" customHeight="1" x14ac:dyDescent="0.2">
      <c r="C633" s="12"/>
      <c r="D633" s="13"/>
      <c r="E633" s="14"/>
      <c r="G633" s="16"/>
      <c r="H633" s="16"/>
      <c r="I633" s="16"/>
      <c r="M633" s="17"/>
      <c r="P633" s="8"/>
    </row>
    <row r="634" spans="3:16" ht="15.75" customHeight="1" x14ac:dyDescent="0.2">
      <c r="C634" s="12"/>
      <c r="D634" s="13"/>
      <c r="E634" s="14"/>
      <c r="G634" s="16"/>
      <c r="H634" s="16"/>
      <c r="I634" s="16"/>
      <c r="M634" s="17"/>
      <c r="P634" s="8"/>
    </row>
    <row r="635" spans="3:16" ht="15.75" customHeight="1" x14ac:dyDescent="0.2">
      <c r="C635" s="12"/>
      <c r="D635" s="13"/>
      <c r="E635" s="14"/>
      <c r="G635" s="16"/>
      <c r="H635" s="16"/>
      <c r="I635" s="16"/>
      <c r="M635" s="17"/>
      <c r="P635" s="8"/>
    </row>
    <row r="636" spans="3:16" ht="15.75" customHeight="1" x14ac:dyDescent="0.2">
      <c r="C636" s="12"/>
      <c r="D636" s="13"/>
      <c r="E636" s="14"/>
      <c r="G636" s="16"/>
      <c r="H636" s="16"/>
      <c r="I636" s="16"/>
      <c r="M636" s="17"/>
      <c r="P636" s="8"/>
    </row>
    <row r="637" spans="3:16" ht="15.75" customHeight="1" x14ac:dyDescent="0.2">
      <c r="C637" s="12"/>
      <c r="D637" s="13"/>
      <c r="E637" s="14"/>
      <c r="G637" s="16"/>
      <c r="H637" s="16"/>
      <c r="I637" s="16"/>
      <c r="M637" s="17"/>
      <c r="P637" s="8"/>
    </row>
    <row r="638" spans="3:16" ht="15.75" customHeight="1" x14ac:dyDescent="0.2">
      <c r="C638" s="12"/>
      <c r="D638" s="13"/>
      <c r="E638" s="14"/>
      <c r="G638" s="16"/>
      <c r="H638" s="16"/>
      <c r="I638" s="16"/>
      <c r="M638" s="17"/>
      <c r="P638" s="8"/>
    </row>
    <row r="639" spans="3:16" ht="15.75" customHeight="1" x14ac:dyDescent="0.2">
      <c r="C639" s="12"/>
      <c r="D639" s="13"/>
      <c r="E639" s="14"/>
      <c r="G639" s="16"/>
      <c r="H639" s="16"/>
      <c r="I639" s="16"/>
      <c r="M639" s="17"/>
      <c r="P639" s="8"/>
    </row>
    <row r="640" spans="3:16" ht="15.75" customHeight="1" x14ac:dyDescent="0.2">
      <c r="C640" s="12"/>
      <c r="D640" s="13"/>
      <c r="E640" s="14"/>
      <c r="G640" s="16"/>
      <c r="H640" s="16"/>
      <c r="I640" s="16"/>
      <c r="M640" s="17"/>
      <c r="P640" s="8"/>
    </row>
    <row r="641" spans="3:16" ht="15.75" customHeight="1" x14ac:dyDescent="0.2">
      <c r="C641" s="12"/>
      <c r="D641" s="13"/>
      <c r="E641" s="14"/>
      <c r="G641" s="16"/>
      <c r="H641" s="16"/>
      <c r="I641" s="16"/>
      <c r="M641" s="17"/>
      <c r="P641" s="8"/>
    </row>
    <row r="642" spans="3:16" ht="15.75" customHeight="1" x14ac:dyDescent="0.2">
      <c r="C642" s="12"/>
      <c r="D642" s="13"/>
      <c r="E642" s="14"/>
      <c r="G642" s="16"/>
      <c r="H642" s="16"/>
      <c r="I642" s="16"/>
      <c r="M642" s="17"/>
      <c r="P642" s="8"/>
    </row>
    <row r="643" spans="3:16" ht="15.75" customHeight="1" x14ac:dyDescent="0.2">
      <c r="C643" s="12"/>
      <c r="D643" s="13"/>
      <c r="E643" s="14"/>
      <c r="G643" s="16"/>
      <c r="H643" s="16"/>
      <c r="I643" s="16"/>
      <c r="M643" s="17"/>
      <c r="P643" s="8"/>
    </row>
    <row r="644" spans="3:16" ht="15.75" customHeight="1" x14ac:dyDescent="0.2">
      <c r="C644" s="12"/>
      <c r="D644" s="13"/>
      <c r="E644" s="14"/>
      <c r="G644" s="16"/>
      <c r="H644" s="16"/>
      <c r="I644" s="16"/>
      <c r="M644" s="17"/>
      <c r="P644" s="8"/>
    </row>
    <row r="645" spans="3:16" ht="15.75" customHeight="1" x14ac:dyDescent="0.2">
      <c r="C645" s="12"/>
      <c r="D645" s="13"/>
      <c r="E645" s="14"/>
      <c r="G645" s="16"/>
      <c r="H645" s="16"/>
      <c r="I645" s="16"/>
      <c r="M645" s="17"/>
      <c r="P645" s="8"/>
    </row>
    <row r="646" spans="3:16" ht="15.75" customHeight="1" x14ac:dyDescent="0.2">
      <c r="C646" s="12"/>
      <c r="D646" s="13"/>
      <c r="E646" s="14"/>
      <c r="G646" s="16"/>
      <c r="H646" s="16"/>
      <c r="I646" s="16"/>
      <c r="M646" s="17"/>
      <c r="P646" s="8"/>
    </row>
    <row r="647" spans="3:16" ht="15.75" customHeight="1" x14ac:dyDescent="0.2">
      <c r="C647" s="12"/>
      <c r="D647" s="13"/>
      <c r="E647" s="14"/>
      <c r="G647" s="16"/>
      <c r="H647" s="16"/>
      <c r="I647" s="16"/>
      <c r="M647" s="17"/>
      <c r="P647" s="8"/>
    </row>
    <row r="648" spans="3:16" ht="15.75" customHeight="1" x14ac:dyDescent="0.2">
      <c r="C648" s="12"/>
      <c r="D648" s="13"/>
      <c r="E648" s="14"/>
      <c r="G648" s="16"/>
      <c r="H648" s="16"/>
      <c r="I648" s="16"/>
      <c r="M648" s="17"/>
      <c r="P648" s="8"/>
    </row>
    <row r="649" spans="3:16" ht="15.75" customHeight="1" x14ac:dyDescent="0.2">
      <c r="C649" s="12"/>
      <c r="D649" s="13"/>
      <c r="E649" s="14"/>
      <c r="G649" s="16"/>
      <c r="H649" s="16"/>
      <c r="I649" s="16"/>
      <c r="M649" s="17"/>
      <c r="P649" s="8"/>
    </row>
    <row r="650" spans="3:16" ht="15.75" customHeight="1" x14ac:dyDescent="0.2">
      <c r="C650" s="12"/>
      <c r="D650" s="13"/>
      <c r="E650" s="14"/>
      <c r="G650" s="16"/>
      <c r="H650" s="16"/>
      <c r="I650" s="16"/>
      <c r="M650" s="17"/>
      <c r="P650" s="8"/>
    </row>
    <row r="651" spans="3:16" ht="15.75" customHeight="1" x14ac:dyDescent="0.2">
      <c r="C651" s="12"/>
      <c r="D651" s="13"/>
      <c r="E651" s="14"/>
      <c r="G651" s="16"/>
      <c r="H651" s="16"/>
      <c r="I651" s="16"/>
      <c r="M651" s="17"/>
      <c r="P651" s="8"/>
    </row>
    <row r="652" spans="3:16" ht="15.75" customHeight="1" x14ac:dyDescent="0.2">
      <c r="C652" s="12"/>
      <c r="D652" s="13"/>
      <c r="E652" s="14"/>
      <c r="G652" s="16"/>
      <c r="H652" s="16"/>
      <c r="I652" s="16"/>
      <c r="M652" s="17"/>
      <c r="P652" s="8"/>
    </row>
    <row r="653" spans="3:16" ht="15.75" customHeight="1" x14ac:dyDescent="0.2">
      <c r="C653" s="12"/>
      <c r="D653" s="13"/>
      <c r="E653" s="14"/>
      <c r="G653" s="16"/>
      <c r="H653" s="16"/>
      <c r="I653" s="16"/>
      <c r="M653" s="17"/>
      <c r="P653" s="8"/>
    </row>
    <row r="654" spans="3:16" ht="15.75" customHeight="1" x14ac:dyDescent="0.2">
      <c r="C654" s="12"/>
      <c r="D654" s="13"/>
      <c r="E654" s="14"/>
      <c r="G654" s="16"/>
      <c r="H654" s="16"/>
      <c r="I654" s="16"/>
      <c r="M654" s="17"/>
      <c r="P654" s="8"/>
    </row>
    <row r="655" spans="3:16" ht="15.75" customHeight="1" x14ac:dyDescent="0.2">
      <c r="C655" s="12"/>
      <c r="D655" s="13"/>
      <c r="E655" s="14"/>
      <c r="G655" s="16"/>
      <c r="H655" s="16"/>
      <c r="I655" s="16"/>
      <c r="M655" s="17"/>
      <c r="P655" s="8"/>
    </row>
    <row r="656" spans="3:16" ht="15.75" customHeight="1" x14ac:dyDescent="0.2">
      <c r="C656" s="12"/>
      <c r="D656" s="13"/>
      <c r="E656" s="14"/>
      <c r="G656" s="16"/>
      <c r="H656" s="16"/>
      <c r="I656" s="16"/>
      <c r="M656" s="17"/>
      <c r="P656" s="8"/>
    </row>
    <row r="657" spans="3:16" ht="15.75" customHeight="1" x14ac:dyDescent="0.2">
      <c r="C657" s="12"/>
      <c r="D657" s="13"/>
      <c r="E657" s="14"/>
      <c r="G657" s="16"/>
      <c r="H657" s="16"/>
      <c r="I657" s="16"/>
      <c r="M657" s="17"/>
      <c r="P657" s="8"/>
    </row>
    <row r="658" spans="3:16" ht="15.75" customHeight="1" x14ac:dyDescent="0.2">
      <c r="C658" s="12"/>
      <c r="D658" s="13"/>
      <c r="E658" s="14"/>
      <c r="G658" s="16"/>
      <c r="H658" s="16"/>
      <c r="I658" s="16"/>
      <c r="M658" s="17"/>
      <c r="P658" s="8"/>
    </row>
    <row r="659" spans="3:16" ht="15.75" customHeight="1" x14ac:dyDescent="0.2">
      <c r="C659" s="12"/>
      <c r="D659" s="13"/>
      <c r="E659" s="14"/>
      <c r="G659" s="16"/>
      <c r="H659" s="16"/>
      <c r="I659" s="16"/>
      <c r="M659" s="17"/>
      <c r="P659" s="8"/>
    </row>
    <row r="660" spans="3:16" ht="15.75" customHeight="1" x14ac:dyDescent="0.2">
      <c r="C660" s="12"/>
      <c r="D660" s="13"/>
      <c r="E660" s="14"/>
      <c r="G660" s="16"/>
      <c r="H660" s="16"/>
      <c r="I660" s="16"/>
      <c r="M660" s="17"/>
      <c r="P660" s="8"/>
    </row>
    <row r="661" spans="3:16" ht="15.75" customHeight="1" x14ac:dyDescent="0.2">
      <c r="C661" s="12"/>
      <c r="D661" s="13"/>
      <c r="E661" s="14"/>
      <c r="G661" s="16"/>
      <c r="H661" s="16"/>
      <c r="I661" s="16"/>
      <c r="M661" s="17"/>
      <c r="P661" s="8"/>
    </row>
    <row r="662" spans="3:16" ht="15.75" customHeight="1" x14ac:dyDescent="0.2">
      <c r="C662" s="12"/>
      <c r="D662" s="13"/>
      <c r="E662" s="14"/>
      <c r="G662" s="16"/>
      <c r="H662" s="16"/>
      <c r="I662" s="16"/>
      <c r="M662" s="17"/>
      <c r="P662" s="8"/>
    </row>
    <row r="663" spans="3:16" ht="15.75" customHeight="1" x14ac:dyDescent="0.2">
      <c r="C663" s="12"/>
      <c r="D663" s="13"/>
      <c r="E663" s="14"/>
      <c r="G663" s="16"/>
      <c r="H663" s="16"/>
      <c r="I663" s="16"/>
      <c r="M663" s="17"/>
      <c r="P663" s="8"/>
    </row>
    <row r="664" spans="3:16" ht="15.75" customHeight="1" x14ac:dyDescent="0.2">
      <c r="C664" s="12"/>
      <c r="D664" s="13"/>
      <c r="E664" s="14"/>
      <c r="G664" s="16"/>
      <c r="H664" s="16"/>
      <c r="I664" s="16"/>
      <c r="M664" s="17"/>
      <c r="P664" s="8"/>
    </row>
    <row r="665" spans="3:16" ht="15.75" customHeight="1" x14ac:dyDescent="0.2">
      <c r="C665" s="12"/>
      <c r="D665" s="13"/>
      <c r="E665" s="14"/>
      <c r="G665" s="16"/>
      <c r="H665" s="16"/>
      <c r="I665" s="16"/>
      <c r="M665" s="17"/>
      <c r="P665" s="8"/>
    </row>
    <row r="666" spans="3:16" ht="15.75" customHeight="1" x14ac:dyDescent="0.2">
      <c r="C666" s="12"/>
      <c r="D666" s="13"/>
      <c r="E666" s="14"/>
      <c r="G666" s="16"/>
      <c r="H666" s="16"/>
      <c r="I666" s="16"/>
      <c r="M666" s="17"/>
      <c r="P666" s="8"/>
    </row>
    <row r="667" spans="3:16" ht="15.75" customHeight="1" x14ac:dyDescent="0.2">
      <c r="C667" s="12"/>
      <c r="D667" s="13"/>
      <c r="E667" s="14"/>
      <c r="G667" s="16"/>
      <c r="H667" s="16"/>
      <c r="I667" s="16"/>
      <c r="M667" s="17"/>
      <c r="P667" s="8"/>
    </row>
    <row r="668" spans="3:16" ht="15.75" customHeight="1" x14ac:dyDescent="0.2">
      <c r="C668" s="12"/>
      <c r="D668" s="13"/>
      <c r="E668" s="14"/>
      <c r="G668" s="16"/>
      <c r="H668" s="16"/>
      <c r="I668" s="16"/>
      <c r="M668" s="17"/>
      <c r="P668" s="8"/>
    </row>
    <row r="669" spans="3:16" ht="15.75" customHeight="1" x14ac:dyDescent="0.2">
      <c r="C669" s="12"/>
      <c r="D669" s="13"/>
      <c r="E669" s="14"/>
      <c r="G669" s="16"/>
      <c r="H669" s="16"/>
      <c r="I669" s="16"/>
      <c r="M669" s="17"/>
      <c r="P669" s="8"/>
    </row>
    <row r="670" spans="3:16" ht="15.75" customHeight="1" x14ac:dyDescent="0.2">
      <c r="C670" s="12"/>
      <c r="D670" s="13"/>
      <c r="E670" s="14"/>
      <c r="G670" s="16"/>
      <c r="H670" s="16"/>
      <c r="I670" s="16"/>
      <c r="M670" s="17"/>
      <c r="P670" s="8"/>
    </row>
    <row r="671" spans="3:16" ht="15.75" customHeight="1" x14ac:dyDescent="0.2">
      <c r="C671" s="12"/>
      <c r="D671" s="13"/>
      <c r="E671" s="14"/>
      <c r="G671" s="16"/>
      <c r="H671" s="16"/>
      <c r="I671" s="16"/>
      <c r="M671" s="17"/>
      <c r="P671" s="8"/>
    </row>
    <row r="672" spans="3:16" ht="15.75" customHeight="1" x14ac:dyDescent="0.2">
      <c r="C672" s="12"/>
      <c r="D672" s="13"/>
      <c r="E672" s="14"/>
      <c r="G672" s="16"/>
      <c r="H672" s="16"/>
      <c r="I672" s="16"/>
      <c r="M672" s="17"/>
      <c r="P672" s="8"/>
    </row>
    <row r="673" spans="3:16" ht="15.75" customHeight="1" x14ac:dyDescent="0.2">
      <c r="C673" s="12"/>
      <c r="D673" s="13"/>
      <c r="E673" s="14"/>
      <c r="G673" s="16"/>
      <c r="H673" s="16"/>
      <c r="I673" s="16"/>
      <c r="M673" s="17"/>
      <c r="P673" s="8"/>
    </row>
    <row r="674" spans="3:16" ht="15.75" customHeight="1" x14ac:dyDescent="0.2">
      <c r="C674" s="12"/>
      <c r="D674" s="13"/>
      <c r="E674" s="14"/>
      <c r="G674" s="16"/>
      <c r="H674" s="16"/>
      <c r="I674" s="16"/>
      <c r="M674" s="17"/>
      <c r="P674" s="8"/>
    </row>
    <row r="675" spans="3:16" ht="15.75" customHeight="1" x14ac:dyDescent="0.2">
      <c r="C675" s="12"/>
      <c r="D675" s="13"/>
      <c r="E675" s="14"/>
      <c r="G675" s="16"/>
      <c r="H675" s="16"/>
      <c r="I675" s="16"/>
      <c r="M675" s="17"/>
      <c r="P675" s="8"/>
    </row>
    <row r="676" spans="3:16" ht="15.75" customHeight="1" x14ac:dyDescent="0.2">
      <c r="C676" s="12"/>
      <c r="D676" s="13"/>
      <c r="E676" s="14"/>
      <c r="G676" s="16"/>
      <c r="H676" s="16"/>
      <c r="I676" s="16"/>
      <c r="M676" s="17"/>
      <c r="P676" s="8"/>
    </row>
    <row r="677" spans="3:16" ht="15.75" customHeight="1" x14ac:dyDescent="0.2">
      <c r="C677" s="12"/>
      <c r="D677" s="13"/>
      <c r="E677" s="14"/>
      <c r="G677" s="16"/>
      <c r="H677" s="16"/>
      <c r="I677" s="16"/>
      <c r="M677" s="17"/>
      <c r="P677" s="8"/>
    </row>
    <row r="678" spans="3:16" ht="15.75" customHeight="1" x14ac:dyDescent="0.2">
      <c r="C678" s="12"/>
      <c r="D678" s="13"/>
      <c r="E678" s="14"/>
      <c r="G678" s="16"/>
      <c r="H678" s="16"/>
      <c r="I678" s="16"/>
      <c r="M678" s="17"/>
      <c r="P678" s="8"/>
    </row>
    <row r="679" spans="3:16" ht="15.75" customHeight="1" x14ac:dyDescent="0.2">
      <c r="C679" s="12"/>
      <c r="D679" s="13"/>
      <c r="E679" s="14"/>
      <c r="G679" s="16"/>
      <c r="H679" s="16"/>
      <c r="I679" s="16"/>
      <c r="M679" s="17"/>
      <c r="P679" s="8"/>
    </row>
    <row r="680" spans="3:16" ht="15.75" customHeight="1" x14ac:dyDescent="0.2">
      <c r="C680" s="12"/>
      <c r="D680" s="13"/>
      <c r="E680" s="14"/>
      <c r="G680" s="16"/>
      <c r="H680" s="16"/>
      <c r="I680" s="16"/>
      <c r="M680" s="17"/>
      <c r="P680" s="8"/>
    </row>
    <row r="681" spans="3:16" ht="15.75" customHeight="1" x14ac:dyDescent="0.2">
      <c r="C681" s="12"/>
      <c r="D681" s="13"/>
      <c r="E681" s="14"/>
      <c r="G681" s="16"/>
      <c r="H681" s="16"/>
      <c r="I681" s="16"/>
      <c r="M681" s="17"/>
      <c r="P681" s="8"/>
    </row>
    <row r="682" spans="3:16" ht="15.75" customHeight="1" x14ac:dyDescent="0.2">
      <c r="C682" s="12"/>
      <c r="D682" s="13"/>
      <c r="E682" s="14"/>
      <c r="G682" s="16"/>
      <c r="H682" s="16"/>
      <c r="I682" s="16"/>
      <c r="M682" s="17"/>
      <c r="P682" s="8"/>
    </row>
    <row r="683" spans="3:16" ht="15.75" customHeight="1" x14ac:dyDescent="0.2">
      <c r="C683" s="12"/>
      <c r="D683" s="13"/>
      <c r="E683" s="14"/>
      <c r="G683" s="16"/>
      <c r="H683" s="16"/>
      <c r="I683" s="16"/>
      <c r="M683" s="17"/>
      <c r="P683" s="8"/>
    </row>
    <row r="684" spans="3:16" ht="15.75" customHeight="1" x14ac:dyDescent="0.2">
      <c r="C684" s="12"/>
      <c r="D684" s="13"/>
      <c r="E684" s="14"/>
      <c r="G684" s="16"/>
      <c r="H684" s="16"/>
      <c r="I684" s="16"/>
      <c r="M684" s="17"/>
      <c r="P684" s="8"/>
    </row>
    <row r="685" spans="3:16" ht="15.75" customHeight="1" x14ac:dyDescent="0.2">
      <c r="C685" s="12"/>
      <c r="D685" s="13"/>
      <c r="E685" s="14"/>
      <c r="G685" s="16"/>
      <c r="H685" s="16"/>
      <c r="I685" s="16"/>
      <c r="M685" s="17"/>
      <c r="P685" s="8"/>
    </row>
    <row r="686" spans="3:16" ht="15.75" customHeight="1" x14ac:dyDescent="0.2">
      <c r="C686" s="12"/>
      <c r="D686" s="13"/>
      <c r="E686" s="14"/>
      <c r="G686" s="16"/>
      <c r="H686" s="16"/>
      <c r="I686" s="16"/>
      <c r="M686" s="17"/>
      <c r="P686" s="8"/>
    </row>
    <row r="687" spans="3:16" ht="15.75" customHeight="1" x14ac:dyDescent="0.2">
      <c r="C687" s="12"/>
      <c r="D687" s="13"/>
      <c r="E687" s="14"/>
      <c r="G687" s="16"/>
      <c r="H687" s="16"/>
      <c r="I687" s="16"/>
      <c r="M687" s="17"/>
      <c r="P687" s="8"/>
    </row>
    <row r="688" spans="3:16" ht="15.75" customHeight="1" x14ac:dyDescent="0.2">
      <c r="C688" s="12"/>
      <c r="D688" s="13"/>
      <c r="E688" s="14"/>
      <c r="G688" s="16"/>
      <c r="H688" s="16"/>
      <c r="I688" s="16"/>
      <c r="M688" s="17"/>
      <c r="P688" s="8"/>
    </row>
    <row r="689" spans="3:16" ht="15.75" customHeight="1" x14ac:dyDescent="0.2">
      <c r="C689" s="12"/>
      <c r="D689" s="13"/>
      <c r="E689" s="14"/>
      <c r="G689" s="16"/>
      <c r="H689" s="16"/>
      <c r="I689" s="16"/>
      <c r="M689" s="17"/>
      <c r="P689" s="8"/>
    </row>
    <row r="690" spans="3:16" ht="15.75" customHeight="1" x14ac:dyDescent="0.2">
      <c r="C690" s="12"/>
      <c r="D690" s="13"/>
      <c r="E690" s="14"/>
      <c r="G690" s="16"/>
      <c r="H690" s="16"/>
      <c r="I690" s="16"/>
      <c r="M690" s="17"/>
      <c r="P690" s="8"/>
    </row>
    <row r="691" spans="3:16" ht="15.75" customHeight="1" x14ac:dyDescent="0.2">
      <c r="C691" s="12"/>
      <c r="D691" s="13"/>
      <c r="E691" s="14"/>
      <c r="G691" s="16"/>
      <c r="H691" s="16"/>
      <c r="I691" s="16"/>
      <c r="M691" s="17"/>
      <c r="P691" s="8"/>
    </row>
    <row r="692" spans="3:16" ht="15.75" customHeight="1" x14ac:dyDescent="0.2">
      <c r="C692" s="12"/>
      <c r="D692" s="13"/>
      <c r="E692" s="14"/>
      <c r="G692" s="16"/>
      <c r="H692" s="16"/>
      <c r="I692" s="16"/>
      <c r="M692" s="17"/>
      <c r="P692" s="8"/>
    </row>
    <row r="693" spans="3:16" ht="15.75" customHeight="1" x14ac:dyDescent="0.2">
      <c r="C693" s="12"/>
      <c r="D693" s="13"/>
      <c r="E693" s="14"/>
      <c r="G693" s="16"/>
      <c r="H693" s="16"/>
      <c r="I693" s="16"/>
      <c r="M693" s="17"/>
      <c r="P693" s="8"/>
    </row>
    <row r="694" spans="3:16" ht="15.75" customHeight="1" x14ac:dyDescent="0.2">
      <c r="C694" s="12"/>
      <c r="D694" s="13"/>
      <c r="E694" s="14"/>
      <c r="G694" s="16"/>
      <c r="H694" s="16"/>
      <c r="I694" s="16"/>
      <c r="M694" s="17"/>
      <c r="P694" s="8"/>
    </row>
    <row r="695" spans="3:16" ht="15.75" customHeight="1" x14ac:dyDescent="0.2">
      <c r="C695" s="12"/>
      <c r="D695" s="13"/>
      <c r="E695" s="14"/>
      <c r="G695" s="16"/>
      <c r="H695" s="16"/>
      <c r="I695" s="16"/>
      <c r="M695" s="17"/>
      <c r="P695" s="8"/>
    </row>
    <row r="696" spans="3:16" ht="15.75" customHeight="1" x14ac:dyDescent="0.2">
      <c r="C696" s="12"/>
      <c r="D696" s="13"/>
      <c r="E696" s="14"/>
      <c r="G696" s="16"/>
      <c r="H696" s="16"/>
      <c r="I696" s="16"/>
      <c r="M696" s="17"/>
      <c r="P696" s="8"/>
    </row>
    <row r="697" spans="3:16" ht="15.75" customHeight="1" x14ac:dyDescent="0.2">
      <c r="C697" s="12"/>
      <c r="D697" s="13"/>
      <c r="E697" s="14"/>
      <c r="G697" s="16"/>
      <c r="H697" s="16"/>
      <c r="I697" s="16"/>
      <c r="M697" s="17"/>
      <c r="P697" s="8"/>
    </row>
    <row r="698" spans="3:16" ht="15.75" customHeight="1" x14ac:dyDescent="0.2">
      <c r="C698" s="12"/>
      <c r="D698" s="13"/>
      <c r="E698" s="14"/>
      <c r="G698" s="16"/>
      <c r="H698" s="16"/>
      <c r="I698" s="16"/>
      <c r="M698" s="17"/>
      <c r="P698" s="8"/>
    </row>
    <row r="699" spans="3:16" ht="15.75" customHeight="1" x14ac:dyDescent="0.2">
      <c r="C699" s="12"/>
      <c r="D699" s="13"/>
      <c r="E699" s="14"/>
      <c r="G699" s="16"/>
      <c r="H699" s="16"/>
      <c r="I699" s="16"/>
      <c r="M699" s="17"/>
      <c r="P699" s="8"/>
    </row>
    <row r="700" spans="3:16" ht="15.75" customHeight="1" x14ac:dyDescent="0.2">
      <c r="C700" s="12"/>
      <c r="D700" s="13"/>
      <c r="E700" s="14"/>
      <c r="G700" s="16"/>
      <c r="H700" s="16"/>
      <c r="I700" s="16"/>
      <c r="M700" s="17"/>
      <c r="P700" s="8"/>
    </row>
    <row r="701" spans="3:16" ht="15.75" customHeight="1" x14ac:dyDescent="0.2">
      <c r="C701" s="12"/>
      <c r="D701" s="13"/>
      <c r="E701" s="14"/>
      <c r="G701" s="16"/>
      <c r="H701" s="16"/>
      <c r="I701" s="16"/>
      <c r="M701" s="17"/>
      <c r="P701" s="8"/>
    </row>
    <row r="702" spans="3:16" ht="15.75" customHeight="1" x14ac:dyDescent="0.2">
      <c r="C702" s="12"/>
      <c r="D702" s="13"/>
      <c r="E702" s="14"/>
      <c r="G702" s="16"/>
      <c r="H702" s="16"/>
      <c r="I702" s="16"/>
      <c r="M702" s="17"/>
      <c r="P702" s="8"/>
    </row>
    <row r="703" spans="3:16" ht="15.75" customHeight="1" x14ac:dyDescent="0.2">
      <c r="C703" s="12"/>
      <c r="D703" s="13"/>
      <c r="E703" s="14"/>
      <c r="G703" s="16"/>
      <c r="H703" s="16"/>
      <c r="I703" s="16"/>
      <c r="M703" s="17"/>
      <c r="P703" s="8"/>
    </row>
    <row r="704" spans="3:16" ht="15.75" customHeight="1" x14ac:dyDescent="0.2">
      <c r="C704" s="12"/>
      <c r="D704" s="13"/>
      <c r="E704" s="14"/>
      <c r="G704" s="16"/>
      <c r="H704" s="16"/>
      <c r="I704" s="16"/>
      <c r="M704" s="17"/>
      <c r="P704" s="8"/>
    </row>
    <row r="705" spans="3:16" ht="15.75" customHeight="1" x14ac:dyDescent="0.2">
      <c r="C705" s="12"/>
      <c r="D705" s="13"/>
      <c r="E705" s="14"/>
      <c r="G705" s="16"/>
      <c r="H705" s="16"/>
      <c r="I705" s="16"/>
      <c r="M705" s="17"/>
      <c r="P705" s="8"/>
    </row>
    <row r="706" spans="3:16" ht="15.75" customHeight="1" x14ac:dyDescent="0.2">
      <c r="C706" s="12"/>
      <c r="D706" s="13"/>
      <c r="E706" s="14"/>
      <c r="G706" s="16"/>
      <c r="H706" s="16"/>
      <c r="I706" s="16"/>
      <c r="M706" s="17"/>
      <c r="P706" s="8"/>
    </row>
    <row r="707" spans="3:16" ht="15.75" customHeight="1" x14ac:dyDescent="0.2">
      <c r="C707" s="12"/>
      <c r="D707" s="13"/>
      <c r="E707" s="14"/>
      <c r="G707" s="16"/>
      <c r="H707" s="16"/>
      <c r="I707" s="16"/>
      <c r="M707" s="17"/>
      <c r="P707" s="8"/>
    </row>
    <row r="708" spans="3:16" ht="15.75" customHeight="1" x14ac:dyDescent="0.2">
      <c r="C708" s="12"/>
      <c r="D708" s="13"/>
      <c r="E708" s="14"/>
      <c r="G708" s="16"/>
      <c r="H708" s="16"/>
      <c r="I708" s="16"/>
      <c r="M708" s="17"/>
      <c r="P708" s="8"/>
    </row>
    <row r="709" spans="3:16" ht="15.75" customHeight="1" x14ac:dyDescent="0.2">
      <c r="C709" s="12"/>
      <c r="D709" s="13"/>
      <c r="E709" s="14"/>
      <c r="G709" s="16"/>
      <c r="H709" s="16"/>
      <c r="I709" s="16"/>
      <c r="M709" s="17"/>
      <c r="P709" s="8"/>
    </row>
    <row r="710" spans="3:16" ht="15.75" customHeight="1" x14ac:dyDescent="0.2">
      <c r="C710" s="12"/>
      <c r="D710" s="13"/>
      <c r="E710" s="14"/>
      <c r="G710" s="16"/>
      <c r="H710" s="16"/>
      <c r="I710" s="16"/>
      <c r="M710" s="17"/>
      <c r="P710" s="8"/>
    </row>
    <row r="711" spans="3:16" ht="15.75" customHeight="1" x14ac:dyDescent="0.2">
      <c r="C711" s="12"/>
      <c r="D711" s="13"/>
      <c r="E711" s="14"/>
      <c r="G711" s="16"/>
      <c r="H711" s="16"/>
      <c r="I711" s="16"/>
      <c r="M711" s="17"/>
      <c r="P711" s="8"/>
    </row>
    <row r="712" spans="3:16" ht="15.75" customHeight="1" x14ac:dyDescent="0.2">
      <c r="C712" s="12"/>
      <c r="D712" s="13"/>
      <c r="E712" s="14"/>
      <c r="G712" s="16"/>
      <c r="H712" s="16"/>
      <c r="I712" s="16"/>
      <c r="M712" s="17"/>
      <c r="P712" s="8"/>
    </row>
    <row r="713" spans="3:16" ht="15.75" customHeight="1" x14ac:dyDescent="0.2">
      <c r="C713" s="12"/>
      <c r="D713" s="13"/>
      <c r="E713" s="14"/>
      <c r="G713" s="16"/>
      <c r="H713" s="16"/>
      <c r="I713" s="16"/>
      <c r="M713" s="17"/>
      <c r="P713" s="8"/>
    </row>
    <row r="714" spans="3:16" ht="15.75" customHeight="1" x14ac:dyDescent="0.2">
      <c r="C714" s="12"/>
      <c r="D714" s="13"/>
      <c r="E714" s="14"/>
      <c r="G714" s="16"/>
      <c r="H714" s="16"/>
      <c r="I714" s="16"/>
      <c r="M714" s="17"/>
      <c r="P714" s="8"/>
    </row>
    <row r="715" spans="3:16" ht="15.75" customHeight="1" x14ac:dyDescent="0.2">
      <c r="C715" s="12"/>
      <c r="D715" s="13"/>
      <c r="E715" s="14"/>
      <c r="G715" s="16"/>
      <c r="H715" s="16"/>
      <c r="I715" s="16"/>
      <c r="M715" s="17"/>
      <c r="P715" s="8"/>
    </row>
    <row r="716" spans="3:16" ht="15.75" customHeight="1" x14ac:dyDescent="0.2">
      <c r="C716" s="12"/>
      <c r="D716" s="13"/>
      <c r="E716" s="14"/>
      <c r="G716" s="16"/>
      <c r="H716" s="16"/>
      <c r="I716" s="16"/>
      <c r="M716" s="17"/>
      <c r="P716" s="8"/>
    </row>
    <row r="717" spans="3:16" ht="15.75" customHeight="1" x14ac:dyDescent="0.2">
      <c r="C717" s="12"/>
      <c r="D717" s="13"/>
      <c r="E717" s="14"/>
      <c r="G717" s="16"/>
      <c r="H717" s="16"/>
      <c r="I717" s="16"/>
      <c r="M717" s="17"/>
      <c r="P717" s="8"/>
    </row>
    <row r="718" spans="3:16" ht="15.75" customHeight="1" x14ac:dyDescent="0.2">
      <c r="C718" s="12"/>
      <c r="D718" s="13"/>
      <c r="E718" s="14"/>
      <c r="G718" s="16"/>
      <c r="H718" s="16"/>
      <c r="I718" s="16"/>
      <c r="M718" s="17"/>
      <c r="P718" s="8"/>
    </row>
    <row r="719" spans="3:16" ht="15.75" customHeight="1" x14ac:dyDescent="0.2">
      <c r="C719" s="12"/>
      <c r="D719" s="13"/>
      <c r="E719" s="14"/>
      <c r="G719" s="16"/>
      <c r="H719" s="16"/>
      <c r="I719" s="16"/>
      <c r="M719" s="17"/>
      <c r="P719" s="8"/>
    </row>
    <row r="720" spans="3:16" ht="15.75" customHeight="1" x14ac:dyDescent="0.2">
      <c r="C720" s="12"/>
      <c r="D720" s="13"/>
      <c r="E720" s="14"/>
      <c r="G720" s="16"/>
      <c r="H720" s="16"/>
      <c r="I720" s="16"/>
      <c r="M720" s="17"/>
      <c r="P720" s="8"/>
    </row>
    <row r="721" spans="3:16" ht="15.75" customHeight="1" x14ac:dyDescent="0.2">
      <c r="C721" s="12"/>
      <c r="D721" s="13"/>
      <c r="E721" s="14"/>
      <c r="G721" s="16"/>
      <c r="H721" s="16"/>
      <c r="I721" s="16"/>
      <c r="M721" s="17"/>
      <c r="P721" s="8"/>
    </row>
    <row r="722" spans="3:16" ht="15.75" customHeight="1" x14ac:dyDescent="0.2">
      <c r="C722" s="12"/>
      <c r="D722" s="13"/>
      <c r="E722" s="14"/>
      <c r="G722" s="16"/>
      <c r="H722" s="16"/>
      <c r="I722" s="16"/>
      <c r="M722" s="17"/>
      <c r="P722" s="8"/>
    </row>
    <row r="723" spans="3:16" ht="15.75" customHeight="1" x14ac:dyDescent="0.2">
      <c r="C723" s="12"/>
      <c r="D723" s="13"/>
      <c r="E723" s="14"/>
      <c r="G723" s="16"/>
      <c r="H723" s="16"/>
      <c r="I723" s="16"/>
      <c r="M723" s="17"/>
      <c r="P723" s="8"/>
    </row>
    <row r="724" spans="3:16" ht="15.75" customHeight="1" x14ac:dyDescent="0.2">
      <c r="C724" s="12"/>
      <c r="D724" s="13"/>
      <c r="E724" s="14"/>
      <c r="G724" s="16"/>
      <c r="H724" s="16"/>
      <c r="I724" s="16"/>
      <c r="M724" s="17"/>
      <c r="P724" s="8"/>
    </row>
    <row r="725" spans="3:16" ht="15.75" customHeight="1" x14ac:dyDescent="0.2">
      <c r="C725" s="12"/>
      <c r="D725" s="13"/>
      <c r="E725" s="14"/>
      <c r="G725" s="16"/>
      <c r="H725" s="16"/>
      <c r="I725" s="16"/>
      <c r="M725" s="17"/>
      <c r="P725" s="8"/>
    </row>
    <row r="726" spans="3:16" ht="15.75" customHeight="1" x14ac:dyDescent="0.2">
      <c r="C726" s="12"/>
      <c r="D726" s="13"/>
      <c r="E726" s="14"/>
      <c r="G726" s="16"/>
      <c r="H726" s="16"/>
      <c r="I726" s="16"/>
      <c r="M726" s="17"/>
      <c r="P726" s="8"/>
    </row>
    <row r="727" spans="3:16" ht="15.75" customHeight="1" x14ac:dyDescent="0.2">
      <c r="C727" s="12"/>
      <c r="D727" s="13"/>
      <c r="E727" s="14"/>
      <c r="G727" s="16"/>
      <c r="H727" s="16"/>
      <c r="I727" s="16"/>
      <c r="M727" s="17"/>
      <c r="P727" s="8"/>
    </row>
    <row r="728" spans="3:16" ht="15.75" customHeight="1" x14ac:dyDescent="0.2">
      <c r="C728" s="12"/>
      <c r="D728" s="13"/>
      <c r="E728" s="14"/>
      <c r="G728" s="16"/>
      <c r="H728" s="16"/>
      <c r="I728" s="16"/>
      <c r="M728" s="17"/>
      <c r="P728" s="8"/>
    </row>
    <row r="729" spans="3:16" ht="15.75" customHeight="1" x14ac:dyDescent="0.2">
      <c r="C729" s="12"/>
      <c r="D729" s="13"/>
      <c r="E729" s="14"/>
      <c r="G729" s="16"/>
      <c r="H729" s="16"/>
      <c r="I729" s="16"/>
      <c r="M729" s="17"/>
      <c r="P729" s="8"/>
    </row>
    <row r="730" spans="3:16" ht="15.75" customHeight="1" x14ac:dyDescent="0.2">
      <c r="C730" s="12"/>
      <c r="D730" s="13"/>
      <c r="E730" s="14"/>
      <c r="G730" s="16"/>
      <c r="H730" s="16"/>
      <c r="I730" s="16"/>
      <c r="M730" s="17"/>
      <c r="P730" s="8"/>
    </row>
    <row r="731" spans="3:16" ht="15.75" customHeight="1" x14ac:dyDescent="0.2">
      <c r="C731" s="12"/>
      <c r="D731" s="13"/>
      <c r="E731" s="14"/>
      <c r="G731" s="16"/>
      <c r="H731" s="16"/>
      <c r="I731" s="16"/>
      <c r="M731" s="17"/>
      <c r="P731" s="8"/>
    </row>
    <row r="732" spans="3:16" ht="15.75" customHeight="1" x14ac:dyDescent="0.2">
      <c r="C732" s="12"/>
      <c r="D732" s="13"/>
      <c r="E732" s="14"/>
      <c r="G732" s="16"/>
      <c r="H732" s="16"/>
      <c r="I732" s="16"/>
      <c r="M732" s="17"/>
      <c r="P732" s="8"/>
    </row>
    <row r="733" spans="3:16" ht="15.75" customHeight="1" x14ac:dyDescent="0.2">
      <c r="C733" s="12"/>
      <c r="D733" s="13"/>
      <c r="E733" s="14"/>
      <c r="G733" s="16"/>
      <c r="H733" s="16"/>
      <c r="I733" s="16"/>
      <c r="M733" s="17"/>
      <c r="P733" s="8"/>
    </row>
    <row r="734" spans="3:16" ht="15.75" customHeight="1" x14ac:dyDescent="0.2">
      <c r="C734" s="12"/>
      <c r="D734" s="13"/>
      <c r="E734" s="14"/>
      <c r="G734" s="16"/>
      <c r="H734" s="16"/>
      <c r="I734" s="16"/>
      <c r="M734" s="17"/>
      <c r="P734" s="8"/>
    </row>
    <row r="735" spans="3:16" ht="15.75" customHeight="1" x14ac:dyDescent="0.2">
      <c r="C735" s="12"/>
      <c r="D735" s="13"/>
      <c r="E735" s="14"/>
      <c r="G735" s="16"/>
      <c r="H735" s="16"/>
      <c r="I735" s="16"/>
      <c r="M735" s="17"/>
      <c r="P735" s="8"/>
    </row>
    <row r="736" spans="3:16" ht="15.75" customHeight="1" x14ac:dyDescent="0.2">
      <c r="C736" s="12"/>
      <c r="D736" s="13"/>
      <c r="E736" s="14"/>
      <c r="G736" s="16"/>
      <c r="H736" s="16"/>
      <c r="I736" s="16"/>
      <c r="M736" s="17"/>
      <c r="P736" s="8"/>
    </row>
    <row r="737" spans="3:16" ht="15.75" customHeight="1" x14ac:dyDescent="0.2">
      <c r="C737" s="12"/>
      <c r="D737" s="13"/>
      <c r="E737" s="14"/>
      <c r="G737" s="16"/>
      <c r="H737" s="16"/>
      <c r="I737" s="16"/>
      <c r="M737" s="17"/>
      <c r="P737" s="8"/>
    </row>
    <row r="738" spans="3:16" ht="15.75" customHeight="1" x14ac:dyDescent="0.2">
      <c r="C738" s="12"/>
      <c r="D738" s="13"/>
      <c r="E738" s="14"/>
      <c r="G738" s="16"/>
      <c r="H738" s="16"/>
      <c r="I738" s="16"/>
      <c r="M738" s="17"/>
      <c r="P738" s="8"/>
    </row>
    <row r="739" spans="3:16" ht="15.75" customHeight="1" x14ac:dyDescent="0.2">
      <c r="C739" s="12"/>
      <c r="D739" s="13"/>
      <c r="E739" s="14"/>
      <c r="G739" s="16"/>
      <c r="H739" s="16"/>
      <c r="I739" s="16"/>
      <c r="M739" s="17"/>
      <c r="P739" s="8"/>
    </row>
    <row r="740" spans="3:16" ht="15.75" customHeight="1" x14ac:dyDescent="0.2">
      <c r="C740" s="12"/>
      <c r="D740" s="13"/>
      <c r="E740" s="14"/>
      <c r="G740" s="16"/>
      <c r="H740" s="16"/>
      <c r="I740" s="16"/>
      <c r="M740" s="17"/>
      <c r="P740" s="8"/>
    </row>
    <row r="741" spans="3:16" ht="15.75" customHeight="1" x14ac:dyDescent="0.2">
      <c r="C741" s="12"/>
      <c r="D741" s="13"/>
      <c r="E741" s="14"/>
      <c r="G741" s="16"/>
      <c r="H741" s="16"/>
      <c r="I741" s="16"/>
      <c r="M741" s="17"/>
      <c r="P741" s="8"/>
    </row>
    <row r="742" spans="3:16" ht="15.75" customHeight="1" x14ac:dyDescent="0.2">
      <c r="C742" s="12"/>
      <c r="D742" s="13"/>
      <c r="E742" s="14"/>
      <c r="G742" s="16"/>
      <c r="H742" s="16"/>
      <c r="I742" s="16"/>
      <c r="M742" s="17"/>
      <c r="P742" s="8"/>
    </row>
    <row r="743" spans="3:16" ht="15.75" customHeight="1" x14ac:dyDescent="0.2">
      <c r="C743" s="12"/>
      <c r="D743" s="13"/>
      <c r="E743" s="14"/>
      <c r="G743" s="16"/>
      <c r="H743" s="16"/>
      <c r="I743" s="16"/>
      <c r="M743" s="17"/>
      <c r="P743" s="8"/>
    </row>
    <row r="744" spans="3:16" ht="15.75" customHeight="1" x14ac:dyDescent="0.2">
      <c r="C744" s="12"/>
      <c r="D744" s="13"/>
      <c r="E744" s="14"/>
      <c r="G744" s="16"/>
      <c r="H744" s="16"/>
      <c r="I744" s="16"/>
      <c r="M744" s="17"/>
      <c r="P744" s="8"/>
    </row>
    <row r="745" spans="3:16" ht="15.75" customHeight="1" x14ac:dyDescent="0.2">
      <c r="C745" s="12"/>
      <c r="D745" s="13"/>
      <c r="E745" s="14"/>
      <c r="G745" s="16"/>
      <c r="H745" s="16"/>
      <c r="I745" s="16"/>
      <c r="M745" s="17"/>
      <c r="P745" s="8"/>
    </row>
    <row r="746" spans="3:16" ht="15.75" customHeight="1" x14ac:dyDescent="0.2">
      <c r="C746" s="12"/>
      <c r="D746" s="13"/>
      <c r="E746" s="14"/>
      <c r="G746" s="16"/>
      <c r="H746" s="16"/>
      <c r="I746" s="16"/>
      <c r="M746" s="17"/>
      <c r="P746" s="8"/>
    </row>
    <row r="747" spans="3:16" ht="15.75" customHeight="1" x14ac:dyDescent="0.2">
      <c r="C747" s="12"/>
      <c r="D747" s="13"/>
      <c r="E747" s="14"/>
      <c r="G747" s="16"/>
      <c r="H747" s="16"/>
      <c r="I747" s="16"/>
      <c r="M747" s="17"/>
      <c r="P747" s="8"/>
    </row>
    <row r="748" spans="3:16" ht="15.75" customHeight="1" x14ac:dyDescent="0.2">
      <c r="C748" s="12"/>
      <c r="D748" s="13"/>
      <c r="E748" s="14"/>
      <c r="G748" s="16"/>
      <c r="H748" s="16"/>
      <c r="I748" s="16"/>
      <c r="M748" s="17"/>
      <c r="P748" s="8"/>
    </row>
    <row r="749" spans="3:16" ht="15.75" customHeight="1" x14ac:dyDescent="0.2">
      <c r="C749" s="12"/>
      <c r="D749" s="13"/>
      <c r="E749" s="14"/>
      <c r="G749" s="16"/>
      <c r="H749" s="16"/>
      <c r="I749" s="16"/>
      <c r="M749" s="17"/>
      <c r="P749" s="8"/>
    </row>
    <row r="750" spans="3:16" ht="15.75" customHeight="1" x14ac:dyDescent="0.2">
      <c r="C750" s="12"/>
      <c r="D750" s="13"/>
      <c r="E750" s="14"/>
      <c r="G750" s="16"/>
      <c r="H750" s="16"/>
      <c r="I750" s="16"/>
      <c r="M750" s="17"/>
      <c r="P750" s="8"/>
    </row>
    <row r="751" spans="3:16" ht="15.75" customHeight="1" x14ac:dyDescent="0.2">
      <c r="C751" s="12"/>
      <c r="D751" s="13"/>
      <c r="E751" s="14"/>
      <c r="G751" s="16"/>
      <c r="H751" s="16"/>
      <c r="I751" s="16"/>
      <c r="M751" s="17"/>
      <c r="P751" s="8"/>
    </row>
    <row r="752" spans="3:16" ht="15.75" customHeight="1" x14ac:dyDescent="0.2">
      <c r="C752" s="12"/>
      <c r="D752" s="13"/>
      <c r="E752" s="14"/>
      <c r="G752" s="16"/>
      <c r="H752" s="16"/>
      <c r="I752" s="16"/>
      <c r="M752" s="17"/>
      <c r="P752" s="8"/>
    </row>
    <row r="753" spans="3:16" ht="15.75" customHeight="1" x14ac:dyDescent="0.2">
      <c r="C753" s="12"/>
      <c r="D753" s="13"/>
      <c r="E753" s="14"/>
      <c r="G753" s="16"/>
      <c r="H753" s="16"/>
      <c r="I753" s="16"/>
      <c r="M753" s="17"/>
      <c r="P753" s="8"/>
    </row>
    <row r="754" spans="3:16" ht="15.75" customHeight="1" x14ac:dyDescent="0.2">
      <c r="C754" s="12"/>
      <c r="D754" s="13"/>
      <c r="E754" s="14"/>
      <c r="G754" s="16"/>
      <c r="H754" s="16"/>
      <c r="I754" s="16"/>
      <c r="M754" s="17"/>
      <c r="P754" s="8"/>
    </row>
    <row r="755" spans="3:16" ht="15.75" customHeight="1" x14ac:dyDescent="0.2">
      <c r="C755" s="12"/>
      <c r="D755" s="13"/>
      <c r="E755" s="14"/>
      <c r="G755" s="16"/>
      <c r="H755" s="16"/>
      <c r="I755" s="16"/>
      <c r="M755" s="17"/>
      <c r="P755" s="8"/>
    </row>
    <row r="756" spans="3:16" ht="15.75" customHeight="1" x14ac:dyDescent="0.2">
      <c r="C756" s="12"/>
      <c r="D756" s="13"/>
      <c r="E756" s="14"/>
      <c r="G756" s="16"/>
      <c r="H756" s="16"/>
      <c r="I756" s="16"/>
      <c r="M756" s="17"/>
      <c r="P756" s="8"/>
    </row>
    <row r="757" spans="3:16" ht="15.75" customHeight="1" x14ac:dyDescent="0.2">
      <c r="C757" s="12"/>
      <c r="D757" s="13"/>
      <c r="E757" s="14"/>
      <c r="G757" s="16"/>
      <c r="H757" s="16"/>
      <c r="I757" s="16"/>
      <c r="M757" s="17"/>
      <c r="P757" s="8"/>
    </row>
    <row r="758" spans="3:16" ht="15.75" customHeight="1" x14ac:dyDescent="0.2">
      <c r="C758" s="12"/>
      <c r="D758" s="13"/>
      <c r="E758" s="14"/>
      <c r="G758" s="16"/>
      <c r="H758" s="16"/>
      <c r="I758" s="16"/>
      <c r="M758" s="17"/>
      <c r="P758" s="8"/>
    </row>
    <row r="759" spans="3:16" ht="15.75" customHeight="1" x14ac:dyDescent="0.2">
      <c r="C759" s="12"/>
      <c r="D759" s="13"/>
      <c r="E759" s="14"/>
      <c r="G759" s="16"/>
      <c r="H759" s="16"/>
      <c r="I759" s="16"/>
      <c r="M759" s="17"/>
      <c r="P759" s="8"/>
    </row>
    <row r="760" spans="3:16" ht="15.75" customHeight="1" x14ac:dyDescent="0.2">
      <c r="C760" s="12"/>
      <c r="D760" s="13"/>
      <c r="E760" s="14"/>
      <c r="G760" s="16"/>
      <c r="H760" s="16"/>
      <c r="I760" s="16"/>
      <c r="M760" s="17"/>
      <c r="P760" s="8"/>
    </row>
    <row r="761" spans="3:16" ht="15.75" customHeight="1" x14ac:dyDescent="0.2">
      <c r="C761" s="12"/>
      <c r="D761" s="13"/>
      <c r="E761" s="14"/>
      <c r="G761" s="16"/>
      <c r="H761" s="16"/>
      <c r="I761" s="16"/>
      <c r="M761" s="17"/>
      <c r="P761" s="8"/>
    </row>
    <row r="762" spans="3:16" ht="15.75" customHeight="1" x14ac:dyDescent="0.2">
      <c r="C762" s="12"/>
      <c r="D762" s="13"/>
      <c r="E762" s="14"/>
      <c r="G762" s="16"/>
      <c r="H762" s="16"/>
      <c r="I762" s="16"/>
      <c r="M762" s="17"/>
      <c r="P762" s="8"/>
    </row>
    <row r="763" spans="3:16" ht="15.75" customHeight="1" x14ac:dyDescent="0.2">
      <c r="C763" s="12"/>
      <c r="D763" s="13"/>
      <c r="E763" s="14"/>
      <c r="G763" s="16"/>
      <c r="H763" s="16"/>
      <c r="I763" s="16"/>
      <c r="M763" s="17"/>
      <c r="P763" s="8"/>
    </row>
    <row r="764" spans="3:16" ht="15.75" customHeight="1" x14ac:dyDescent="0.2">
      <c r="C764" s="12"/>
      <c r="D764" s="13"/>
      <c r="E764" s="14"/>
      <c r="G764" s="16"/>
      <c r="H764" s="16"/>
      <c r="I764" s="16"/>
      <c r="M764" s="17"/>
      <c r="P764" s="8"/>
    </row>
    <row r="765" spans="3:16" ht="15.75" customHeight="1" x14ac:dyDescent="0.2">
      <c r="C765" s="12"/>
      <c r="D765" s="13"/>
      <c r="E765" s="14"/>
      <c r="G765" s="16"/>
      <c r="H765" s="16"/>
      <c r="I765" s="16"/>
      <c r="M765" s="17"/>
      <c r="P765" s="8"/>
    </row>
    <row r="766" spans="3:16" ht="15.75" customHeight="1" x14ac:dyDescent="0.2">
      <c r="C766" s="12"/>
      <c r="D766" s="13"/>
      <c r="E766" s="14"/>
      <c r="G766" s="16"/>
      <c r="H766" s="16"/>
      <c r="I766" s="16"/>
      <c r="M766" s="17"/>
      <c r="P766" s="8"/>
    </row>
    <row r="767" spans="3:16" ht="15.75" customHeight="1" x14ac:dyDescent="0.2">
      <c r="C767" s="12"/>
      <c r="D767" s="13"/>
      <c r="E767" s="14"/>
      <c r="G767" s="16"/>
      <c r="H767" s="16"/>
      <c r="I767" s="16"/>
      <c r="M767" s="17"/>
      <c r="P767" s="8"/>
    </row>
    <row r="768" spans="3:16" ht="15.75" customHeight="1" x14ac:dyDescent="0.2">
      <c r="C768" s="12"/>
      <c r="D768" s="13"/>
      <c r="E768" s="14"/>
      <c r="G768" s="16"/>
      <c r="H768" s="16"/>
      <c r="I768" s="16"/>
      <c r="M768" s="17"/>
      <c r="P768" s="8"/>
    </row>
    <row r="769" spans="3:16" ht="15.75" customHeight="1" x14ac:dyDescent="0.2">
      <c r="C769" s="12"/>
      <c r="D769" s="13"/>
      <c r="E769" s="14"/>
      <c r="G769" s="16"/>
      <c r="H769" s="16"/>
      <c r="I769" s="16"/>
      <c r="M769" s="17"/>
      <c r="P769" s="8"/>
    </row>
    <row r="770" spans="3:16" ht="15.75" customHeight="1" x14ac:dyDescent="0.2">
      <c r="C770" s="12"/>
      <c r="D770" s="13"/>
      <c r="E770" s="14"/>
      <c r="G770" s="16"/>
      <c r="H770" s="16"/>
      <c r="I770" s="16"/>
      <c r="M770" s="17"/>
      <c r="P770" s="8"/>
    </row>
    <row r="771" spans="3:16" ht="15.75" customHeight="1" x14ac:dyDescent="0.2">
      <c r="C771" s="12"/>
      <c r="D771" s="13"/>
      <c r="E771" s="14"/>
      <c r="G771" s="16"/>
      <c r="H771" s="16"/>
      <c r="I771" s="16"/>
      <c r="M771" s="17"/>
      <c r="P771" s="8"/>
    </row>
    <row r="772" spans="3:16" ht="15.75" customHeight="1" x14ac:dyDescent="0.2">
      <c r="C772" s="12"/>
      <c r="D772" s="13"/>
      <c r="E772" s="14"/>
      <c r="G772" s="16"/>
      <c r="H772" s="16"/>
      <c r="I772" s="16"/>
      <c r="M772" s="17"/>
      <c r="P772" s="8"/>
    </row>
    <row r="773" spans="3:16" ht="15.75" customHeight="1" x14ac:dyDescent="0.2">
      <c r="C773" s="12"/>
      <c r="D773" s="13"/>
      <c r="E773" s="14"/>
      <c r="G773" s="16"/>
      <c r="H773" s="16"/>
      <c r="I773" s="16"/>
      <c r="M773" s="17"/>
      <c r="P773" s="8"/>
    </row>
    <row r="774" spans="3:16" ht="15.75" customHeight="1" x14ac:dyDescent="0.2">
      <c r="C774" s="12"/>
      <c r="D774" s="13"/>
      <c r="E774" s="14"/>
      <c r="G774" s="16"/>
      <c r="H774" s="16"/>
      <c r="I774" s="16"/>
      <c r="M774" s="17"/>
      <c r="P774" s="8"/>
    </row>
    <row r="775" spans="3:16" ht="15.75" customHeight="1" x14ac:dyDescent="0.2">
      <c r="C775" s="12"/>
      <c r="D775" s="13"/>
      <c r="E775" s="14"/>
      <c r="G775" s="16"/>
      <c r="H775" s="16"/>
      <c r="I775" s="16"/>
      <c r="M775" s="17"/>
      <c r="P775" s="8"/>
    </row>
    <row r="776" spans="3:16" ht="15.75" customHeight="1" x14ac:dyDescent="0.2">
      <c r="C776" s="12"/>
      <c r="D776" s="13"/>
      <c r="E776" s="14"/>
      <c r="G776" s="16"/>
      <c r="H776" s="16"/>
      <c r="I776" s="16"/>
      <c r="M776" s="17"/>
      <c r="P776" s="8"/>
    </row>
    <row r="777" spans="3:16" ht="15.75" customHeight="1" x14ac:dyDescent="0.2">
      <c r="C777" s="12"/>
      <c r="D777" s="13"/>
      <c r="E777" s="14"/>
      <c r="G777" s="16"/>
      <c r="H777" s="16"/>
      <c r="I777" s="16"/>
      <c r="M777" s="17"/>
      <c r="P777" s="8"/>
    </row>
    <row r="778" spans="3:16" ht="15.75" customHeight="1" x14ac:dyDescent="0.2">
      <c r="C778" s="12"/>
      <c r="D778" s="13"/>
      <c r="E778" s="14"/>
      <c r="G778" s="16"/>
      <c r="H778" s="16"/>
      <c r="I778" s="16"/>
      <c r="M778" s="17"/>
      <c r="P778" s="8"/>
    </row>
    <row r="779" spans="3:16" ht="15.75" customHeight="1" x14ac:dyDescent="0.2">
      <c r="C779" s="12"/>
      <c r="D779" s="13"/>
      <c r="E779" s="14"/>
      <c r="G779" s="16"/>
      <c r="H779" s="16"/>
      <c r="I779" s="16"/>
      <c r="M779" s="17"/>
      <c r="P779" s="8"/>
    </row>
    <row r="780" spans="3:16" ht="15.75" customHeight="1" x14ac:dyDescent="0.2">
      <c r="C780" s="12"/>
      <c r="D780" s="13"/>
      <c r="E780" s="14"/>
      <c r="G780" s="16"/>
      <c r="H780" s="16"/>
      <c r="I780" s="16"/>
      <c r="M780" s="17"/>
      <c r="P780" s="8"/>
    </row>
    <row r="781" spans="3:16" ht="15.75" customHeight="1" x14ac:dyDescent="0.2">
      <c r="C781" s="12"/>
      <c r="D781" s="13"/>
      <c r="E781" s="14"/>
      <c r="G781" s="16"/>
      <c r="H781" s="16"/>
      <c r="I781" s="16"/>
      <c r="M781" s="17"/>
      <c r="P781" s="8"/>
    </row>
    <row r="782" spans="3:16" ht="15.75" customHeight="1" x14ac:dyDescent="0.2">
      <c r="C782" s="12"/>
      <c r="D782" s="13"/>
      <c r="E782" s="14"/>
      <c r="G782" s="16"/>
      <c r="H782" s="16"/>
      <c r="I782" s="16"/>
      <c r="M782" s="17"/>
      <c r="P782" s="8"/>
    </row>
    <row r="783" spans="3:16" ht="15.75" customHeight="1" x14ac:dyDescent="0.2">
      <c r="C783" s="12"/>
      <c r="D783" s="13"/>
      <c r="E783" s="14"/>
      <c r="G783" s="16"/>
      <c r="H783" s="16"/>
      <c r="I783" s="16"/>
      <c r="M783" s="17"/>
      <c r="P783" s="8"/>
    </row>
    <row r="784" spans="3:16" ht="15.75" customHeight="1" x14ac:dyDescent="0.2">
      <c r="C784" s="12"/>
      <c r="D784" s="13"/>
      <c r="E784" s="14"/>
      <c r="G784" s="16"/>
      <c r="H784" s="16"/>
      <c r="I784" s="16"/>
      <c r="M784" s="17"/>
      <c r="P784" s="8"/>
    </row>
    <row r="785" spans="3:16" ht="15.75" customHeight="1" x14ac:dyDescent="0.2">
      <c r="C785" s="12"/>
      <c r="D785" s="13"/>
      <c r="E785" s="14"/>
      <c r="G785" s="16"/>
      <c r="H785" s="16"/>
      <c r="I785" s="16"/>
      <c r="M785" s="17"/>
      <c r="P785" s="8"/>
    </row>
    <row r="786" spans="3:16" ht="15.75" customHeight="1" x14ac:dyDescent="0.2">
      <c r="C786" s="12"/>
      <c r="D786" s="13"/>
      <c r="E786" s="14"/>
      <c r="G786" s="16"/>
      <c r="H786" s="16"/>
      <c r="I786" s="16"/>
      <c r="M786" s="17"/>
      <c r="P786" s="8"/>
    </row>
    <row r="787" spans="3:16" ht="15.75" customHeight="1" x14ac:dyDescent="0.2">
      <c r="C787" s="12"/>
      <c r="D787" s="13"/>
      <c r="E787" s="14"/>
      <c r="G787" s="16"/>
      <c r="H787" s="16"/>
      <c r="I787" s="16"/>
      <c r="M787" s="17"/>
      <c r="P787" s="8"/>
    </row>
    <row r="788" spans="3:16" ht="15.75" customHeight="1" x14ac:dyDescent="0.2">
      <c r="C788" s="12"/>
      <c r="D788" s="13"/>
      <c r="E788" s="14"/>
      <c r="G788" s="16"/>
      <c r="H788" s="16"/>
      <c r="I788" s="16"/>
      <c r="M788" s="17"/>
      <c r="P788" s="8"/>
    </row>
    <row r="789" spans="3:16" ht="15.75" customHeight="1" x14ac:dyDescent="0.2">
      <c r="C789" s="12"/>
      <c r="D789" s="13"/>
      <c r="E789" s="14"/>
      <c r="G789" s="16"/>
      <c r="H789" s="16"/>
      <c r="I789" s="16"/>
      <c r="M789" s="17"/>
      <c r="P789" s="8"/>
    </row>
    <row r="790" spans="3:16" ht="15.75" customHeight="1" x14ac:dyDescent="0.2">
      <c r="C790" s="12"/>
      <c r="D790" s="13"/>
      <c r="E790" s="14"/>
      <c r="G790" s="16"/>
      <c r="H790" s="16"/>
      <c r="I790" s="16"/>
      <c r="M790" s="17"/>
      <c r="P790" s="8"/>
    </row>
    <row r="791" spans="3:16" ht="15.75" customHeight="1" x14ac:dyDescent="0.2">
      <c r="C791" s="12"/>
      <c r="D791" s="13"/>
      <c r="E791" s="14"/>
      <c r="G791" s="16"/>
      <c r="H791" s="16"/>
      <c r="I791" s="16"/>
      <c r="M791" s="17"/>
      <c r="P791" s="8"/>
    </row>
    <row r="792" spans="3:16" ht="15.75" customHeight="1" x14ac:dyDescent="0.2">
      <c r="C792" s="12"/>
      <c r="D792" s="13"/>
      <c r="E792" s="14"/>
      <c r="G792" s="16"/>
      <c r="H792" s="16"/>
      <c r="I792" s="16"/>
      <c r="M792" s="17"/>
      <c r="P792" s="8"/>
    </row>
    <row r="793" spans="3:16" ht="15.75" customHeight="1" x14ac:dyDescent="0.2">
      <c r="C793" s="12"/>
      <c r="D793" s="13"/>
      <c r="E793" s="14"/>
      <c r="G793" s="16"/>
      <c r="H793" s="16"/>
      <c r="I793" s="16"/>
      <c r="M793" s="17"/>
      <c r="P793" s="8"/>
    </row>
    <row r="794" spans="3:16" ht="15.75" customHeight="1" x14ac:dyDescent="0.2">
      <c r="C794" s="12"/>
      <c r="D794" s="13"/>
      <c r="E794" s="14"/>
      <c r="G794" s="16"/>
      <c r="H794" s="16"/>
      <c r="I794" s="16"/>
      <c r="M794" s="17"/>
      <c r="P794" s="8"/>
    </row>
    <row r="795" spans="3:16" ht="15.75" customHeight="1" x14ac:dyDescent="0.2">
      <c r="C795" s="12"/>
      <c r="D795" s="13"/>
      <c r="E795" s="14"/>
      <c r="G795" s="16"/>
      <c r="H795" s="16"/>
      <c r="I795" s="16"/>
      <c r="M795" s="17"/>
      <c r="P795" s="8"/>
    </row>
    <row r="796" spans="3:16" ht="15.75" customHeight="1" x14ac:dyDescent="0.2">
      <c r="C796" s="12"/>
      <c r="D796" s="13"/>
      <c r="E796" s="14"/>
      <c r="G796" s="16"/>
      <c r="H796" s="16"/>
      <c r="I796" s="16"/>
      <c r="M796" s="17"/>
      <c r="P796" s="8"/>
    </row>
    <row r="797" spans="3:16" ht="15.75" customHeight="1" x14ac:dyDescent="0.2">
      <c r="C797" s="12"/>
      <c r="D797" s="13"/>
      <c r="E797" s="14"/>
      <c r="G797" s="16"/>
      <c r="H797" s="16"/>
      <c r="I797" s="16"/>
      <c r="M797" s="17"/>
      <c r="P797" s="8"/>
    </row>
    <row r="798" spans="3:16" ht="15.75" customHeight="1" x14ac:dyDescent="0.2">
      <c r="C798" s="12"/>
      <c r="D798" s="13"/>
      <c r="E798" s="14"/>
      <c r="G798" s="16"/>
      <c r="H798" s="16"/>
      <c r="I798" s="16"/>
      <c r="M798" s="17"/>
      <c r="P798" s="8"/>
    </row>
    <row r="799" spans="3:16" ht="15.75" customHeight="1" x14ac:dyDescent="0.2">
      <c r="C799" s="12"/>
      <c r="D799" s="13"/>
      <c r="E799" s="14"/>
      <c r="G799" s="16"/>
      <c r="H799" s="16"/>
      <c r="I799" s="16"/>
      <c r="M799" s="17"/>
      <c r="P799" s="8"/>
    </row>
    <row r="800" spans="3:16" ht="15.75" customHeight="1" x14ac:dyDescent="0.2">
      <c r="C800" s="12"/>
      <c r="D800" s="13"/>
      <c r="E800" s="14"/>
      <c r="G800" s="16"/>
      <c r="H800" s="16"/>
      <c r="I800" s="16"/>
      <c r="M800" s="17"/>
      <c r="P800" s="8"/>
    </row>
    <row r="801" spans="3:16" ht="15.75" customHeight="1" x14ac:dyDescent="0.2">
      <c r="C801" s="12"/>
      <c r="D801" s="13"/>
      <c r="E801" s="14"/>
      <c r="G801" s="16"/>
      <c r="H801" s="16"/>
      <c r="I801" s="16"/>
      <c r="M801" s="17"/>
      <c r="P801" s="8"/>
    </row>
    <row r="802" spans="3:16" ht="15.75" customHeight="1" x14ac:dyDescent="0.2">
      <c r="C802" s="12"/>
      <c r="D802" s="13"/>
      <c r="E802" s="14"/>
      <c r="G802" s="16"/>
      <c r="H802" s="16"/>
      <c r="I802" s="16"/>
      <c r="M802" s="17"/>
      <c r="P802" s="8"/>
    </row>
    <row r="803" spans="3:16" ht="15.75" customHeight="1" x14ac:dyDescent="0.2">
      <c r="C803" s="12"/>
      <c r="D803" s="13"/>
      <c r="E803" s="14"/>
      <c r="G803" s="16"/>
      <c r="H803" s="16"/>
      <c r="I803" s="16"/>
      <c r="M803" s="17"/>
      <c r="P803" s="8"/>
    </row>
    <row r="804" spans="3:16" ht="15.75" customHeight="1" x14ac:dyDescent="0.2">
      <c r="C804" s="12"/>
      <c r="D804" s="13"/>
      <c r="E804" s="14"/>
      <c r="G804" s="16"/>
      <c r="H804" s="16"/>
      <c r="I804" s="16"/>
      <c r="M804" s="17"/>
      <c r="P804" s="8"/>
    </row>
    <row r="805" spans="3:16" ht="15.75" customHeight="1" x14ac:dyDescent="0.2">
      <c r="C805" s="12"/>
      <c r="D805" s="13"/>
      <c r="E805" s="14"/>
      <c r="G805" s="16"/>
      <c r="H805" s="16"/>
      <c r="I805" s="16"/>
      <c r="M805" s="17"/>
      <c r="P805" s="8"/>
    </row>
    <row r="806" spans="3:16" ht="15.75" customHeight="1" x14ac:dyDescent="0.2">
      <c r="C806" s="12"/>
      <c r="D806" s="13"/>
      <c r="E806" s="14"/>
      <c r="G806" s="16"/>
      <c r="H806" s="16"/>
      <c r="I806" s="16"/>
      <c r="M806" s="17"/>
      <c r="P806" s="8"/>
    </row>
    <row r="807" spans="3:16" ht="15.75" customHeight="1" x14ac:dyDescent="0.2">
      <c r="C807" s="12"/>
      <c r="D807" s="13"/>
      <c r="E807" s="14"/>
      <c r="G807" s="16"/>
      <c r="H807" s="16"/>
      <c r="I807" s="16"/>
      <c r="M807" s="17"/>
      <c r="P807" s="8"/>
    </row>
    <row r="808" spans="3:16" ht="15.75" customHeight="1" x14ac:dyDescent="0.2">
      <c r="C808" s="12"/>
      <c r="D808" s="13"/>
      <c r="E808" s="14"/>
      <c r="G808" s="16"/>
      <c r="H808" s="16"/>
      <c r="I808" s="16"/>
      <c r="M808" s="17"/>
      <c r="P808" s="8"/>
    </row>
    <row r="809" spans="3:16" ht="15.75" customHeight="1" x14ac:dyDescent="0.2">
      <c r="C809" s="12"/>
      <c r="D809" s="13"/>
      <c r="E809" s="14"/>
      <c r="G809" s="16"/>
      <c r="H809" s="16"/>
      <c r="I809" s="16"/>
      <c r="M809" s="17"/>
      <c r="P809" s="8"/>
    </row>
    <row r="810" spans="3:16" ht="15.75" customHeight="1" x14ac:dyDescent="0.2">
      <c r="C810" s="12"/>
      <c r="D810" s="13"/>
      <c r="E810" s="14"/>
      <c r="G810" s="16"/>
      <c r="H810" s="16"/>
      <c r="I810" s="16"/>
      <c r="M810" s="17"/>
      <c r="P810" s="8"/>
    </row>
    <row r="811" spans="3:16" ht="15.75" customHeight="1" x14ac:dyDescent="0.2">
      <c r="C811" s="12"/>
      <c r="D811" s="13"/>
      <c r="E811" s="14"/>
      <c r="G811" s="16"/>
      <c r="H811" s="16"/>
      <c r="I811" s="16"/>
      <c r="M811" s="17"/>
      <c r="P811" s="8"/>
    </row>
    <row r="812" spans="3:16" ht="15.75" customHeight="1" x14ac:dyDescent="0.2">
      <c r="C812" s="12"/>
      <c r="D812" s="13"/>
      <c r="E812" s="14"/>
      <c r="G812" s="16"/>
      <c r="H812" s="16"/>
      <c r="I812" s="16"/>
      <c r="M812" s="17"/>
      <c r="P812" s="8"/>
    </row>
    <row r="813" spans="3:16" ht="15.75" customHeight="1" x14ac:dyDescent="0.2">
      <c r="C813" s="12"/>
      <c r="D813" s="13"/>
      <c r="E813" s="14"/>
      <c r="G813" s="16"/>
      <c r="H813" s="16"/>
      <c r="I813" s="16"/>
      <c r="M813" s="17"/>
      <c r="P813" s="8"/>
    </row>
    <row r="814" spans="3:16" ht="15.75" customHeight="1" x14ac:dyDescent="0.2">
      <c r="C814" s="12"/>
      <c r="D814" s="13"/>
      <c r="E814" s="14"/>
      <c r="G814" s="16"/>
      <c r="H814" s="16"/>
      <c r="I814" s="16"/>
      <c r="M814" s="17"/>
      <c r="P814" s="8"/>
    </row>
    <row r="815" spans="3:16" ht="15.75" customHeight="1" x14ac:dyDescent="0.2">
      <c r="C815" s="12"/>
      <c r="D815" s="13"/>
      <c r="E815" s="14"/>
      <c r="G815" s="16"/>
      <c r="H815" s="16"/>
      <c r="I815" s="16"/>
      <c r="M815" s="17"/>
      <c r="P815" s="8"/>
    </row>
    <row r="816" spans="3:16" ht="15.75" customHeight="1" x14ac:dyDescent="0.2">
      <c r="C816" s="12"/>
      <c r="D816" s="13"/>
      <c r="E816" s="14"/>
      <c r="G816" s="16"/>
      <c r="H816" s="16"/>
      <c r="I816" s="16"/>
      <c r="M816" s="17"/>
      <c r="P816" s="8"/>
    </row>
    <row r="817" spans="3:16" ht="15.75" customHeight="1" x14ac:dyDescent="0.2">
      <c r="C817" s="12"/>
      <c r="D817" s="13"/>
      <c r="E817" s="14"/>
      <c r="G817" s="16"/>
      <c r="H817" s="16"/>
      <c r="I817" s="16"/>
      <c r="M817" s="17"/>
      <c r="P817" s="8"/>
    </row>
    <row r="818" spans="3:16" ht="15.75" customHeight="1" x14ac:dyDescent="0.2">
      <c r="C818" s="12"/>
      <c r="D818" s="13"/>
      <c r="E818" s="14"/>
      <c r="G818" s="16"/>
      <c r="H818" s="16"/>
      <c r="I818" s="16"/>
      <c r="M818" s="17"/>
      <c r="P818" s="8"/>
    </row>
    <row r="819" spans="3:16" ht="15.75" customHeight="1" x14ac:dyDescent="0.2">
      <c r="C819" s="12"/>
      <c r="D819" s="13"/>
      <c r="E819" s="14"/>
      <c r="G819" s="16"/>
      <c r="H819" s="16"/>
      <c r="I819" s="16"/>
      <c r="M819" s="17"/>
      <c r="P819" s="8"/>
    </row>
    <row r="820" spans="3:16" ht="15.75" customHeight="1" x14ac:dyDescent="0.2">
      <c r="C820" s="12"/>
      <c r="D820" s="13"/>
      <c r="E820" s="14"/>
      <c r="G820" s="16"/>
      <c r="H820" s="16"/>
      <c r="I820" s="16"/>
      <c r="M820" s="17"/>
      <c r="P820" s="8"/>
    </row>
    <row r="821" spans="3:16" ht="15.75" customHeight="1" x14ac:dyDescent="0.2">
      <c r="C821" s="12"/>
      <c r="D821" s="13"/>
      <c r="E821" s="14"/>
      <c r="G821" s="16"/>
      <c r="H821" s="16"/>
      <c r="I821" s="16"/>
      <c r="M821" s="17"/>
      <c r="P821" s="8"/>
    </row>
    <row r="822" spans="3:16" ht="15.75" customHeight="1" x14ac:dyDescent="0.2">
      <c r="C822" s="12"/>
      <c r="D822" s="13"/>
      <c r="E822" s="14"/>
      <c r="G822" s="16"/>
      <c r="H822" s="16"/>
      <c r="I822" s="16"/>
      <c r="M822" s="17"/>
      <c r="P822" s="8"/>
    </row>
    <row r="823" spans="3:16" ht="15.75" customHeight="1" x14ac:dyDescent="0.2">
      <c r="C823" s="12"/>
      <c r="D823" s="13"/>
      <c r="E823" s="14"/>
      <c r="G823" s="16"/>
      <c r="H823" s="16"/>
      <c r="I823" s="16"/>
      <c r="M823" s="17"/>
      <c r="P823" s="8"/>
    </row>
    <row r="824" spans="3:16" ht="15.75" customHeight="1" x14ac:dyDescent="0.2">
      <c r="C824" s="12"/>
      <c r="D824" s="13"/>
      <c r="E824" s="14"/>
      <c r="G824" s="16"/>
      <c r="H824" s="16"/>
      <c r="I824" s="16"/>
      <c r="M824" s="17"/>
      <c r="P824" s="8"/>
    </row>
    <row r="825" spans="3:16" ht="15.75" customHeight="1" x14ac:dyDescent="0.2">
      <c r="C825" s="12"/>
      <c r="D825" s="13"/>
      <c r="E825" s="14"/>
      <c r="G825" s="16"/>
      <c r="H825" s="16"/>
      <c r="I825" s="16"/>
      <c r="M825" s="17"/>
      <c r="P825" s="8"/>
    </row>
    <row r="826" spans="3:16" ht="15.75" customHeight="1" x14ac:dyDescent="0.2">
      <c r="C826" s="12"/>
      <c r="D826" s="13"/>
      <c r="E826" s="14"/>
      <c r="G826" s="16"/>
      <c r="H826" s="16"/>
      <c r="I826" s="16"/>
      <c r="M826" s="17"/>
      <c r="P826" s="8"/>
    </row>
    <row r="827" spans="3:16" ht="15.75" customHeight="1" x14ac:dyDescent="0.2">
      <c r="C827" s="12"/>
      <c r="D827" s="13"/>
      <c r="E827" s="14"/>
      <c r="G827" s="16"/>
      <c r="H827" s="16"/>
      <c r="I827" s="16"/>
      <c r="M827" s="17"/>
      <c r="P827" s="8"/>
    </row>
    <row r="828" spans="3:16" ht="15.75" customHeight="1" x14ac:dyDescent="0.2">
      <c r="C828" s="12"/>
      <c r="D828" s="13"/>
      <c r="E828" s="14"/>
      <c r="G828" s="16"/>
      <c r="H828" s="16"/>
      <c r="I828" s="16"/>
      <c r="M828" s="17"/>
      <c r="P828" s="8"/>
    </row>
    <row r="829" spans="3:16" ht="15.75" customHeight="1" x14ac:dyDescent="0.2">
      <c r="C829" s="12"/>
      <c r="D829" s="13"/>
      <c r="E829" s="14"/>
      <c r="G829" s="16"/>
      <c r="H829" s="16"/>
      <c r="I829" s="16"/>
      <c r="M829" s="17"/>
      <c r="P829" s="8"/>
    </row>
    <row r="830" spans="3:16" ht="15.75" customHeight="1" x14ac:dyDescent="0.2">
      <c r="C830" s="12"/>
      <c r="D830" s="13"/>
      <c r="E830" s="14"/>
      <c r="G830" s="16"/>
      <c r="H830" s="16"/>
      <c r="I830" s="16"/>
      <c r="M830" s="17"/>
      <c r="P830" s="8"/>
    </row>
    <row r="831" spans="3:16" ht="15.75" customHeight="1" x14ac:dyDescent="0.2">
      <c r="C831" s="12"/>
      <c r="D831" s="13"/>
      <c r="E831" s="14"/>
      <c r="G831" s="16"/>
      <c r="H831" s="16"/>
      <c r="I831" s="16"/>
      <c r="M831" s="17"/>
      <c r="P831" s="8"/>
    </row>
    <row r="832" spans="3:16" ht="15.75" customHeight="1" x14ac:dyDescent="0.2">
      <c r="C832" s="12"/>
      <c r="D832" s="13"/>
      <c r="E832" s="14"/>
      <c r="G832" s="16"/>
      <c r="H832" s="16"/>
      <c r="I832" s="16"/>
      <c r="M832" s="17"/>
      <c r="P832" s="8"/>
    </row>
    <row r="833" spans="3:16" ht="15.75" customHeight="1" x14ac:dyDescent="0.2">
      <c r="C833" s="12"/>
      <c r="D833" s="13"/>
      <c r="E833" s="14"/>
      <c r="G833" s="16"/>
      <c r="H833" s="16"/>
      <c r="I833" s="16"/>
      <c r="M833" s="17"/>
      <c r="P833" s="8"/>
    </row>
    <row r="834" spans="3:16" ht="15.75" customHeight="1" x14ac:dyDescent="0.2">
      <c r="C834" s="12"/>
      <c r="D834" s="13"/>
      <c r="E834" s="14"/>
      <c r="G834" s="16"/>
      <c r="H834" s="16"/>
      <c r="I834" s="16"/>
      <c r="M834" s="17"/>
      <c r="P834" s="8"/>
    </row>
    <row r="835" spans="3:16" ht="15.75" customHeight="1" x14ac:dyDescent="0.2">
      <c r="C835" s="12"/>
      <c r="D835" s="13"/>
      <c r="E835" s="14"/>
      <c r="G835" s="16"/>
      <c r="H835" s="16"/>
      <c r="I835" s="16"/>
      <c r="M835" s="17"/>
      <c r="P835" s="8"/>
    </row>
    <row r="836" spans="3:16" ht="15.75" customHeight="1" x14ac:dyDescent="0.2">
      <c r="C836" s="12"/>
      <c r="D836" s="13"/>
      <c r="E836" s="14"/>
      <c r="G836" s="16"/>
      <c r="H836" s="16"/>
      <c r="I836" s="16"/>
      <c r="M836" s="17"/>
      <c r="P836" s="8"/>
    </row>
    <row r="837" spans="3:16" ht="15.75" customHeight="1" x14ac:dyDescent="0.2">
      <c r="C837" s="12"/>
      <c r="D837" s="13"/>
      <c r="E837" s="14"/>
      <c r="G837" s="16"/>
      <c r="H837" s="16"/>
      <c r="I837" s="16"/>
      <c r="M837" s="17"/>
      <c r="P837" s="8"/>
    </row>
    <row r="838" spans="3:16" ht="15.75" customHeight="1" x14ac:dyDescent="0.2">
      <c r="C838" s="12"/>
      <c r="D838" s="13"/>
      <c r="E838" s="14"/>
      <c r="G838" s="16"/>
      <c r="H838" s="16"/>
      <c r="I838" s="16"/>
      <c r="M838" s="17"/>
      <c r="P838" s="8"/>
    </row>
    <row r="839" spans="3:16" ht="15.75" customHeight="1" x14ac:dyDescent="0.2">
      <c r="C839" s="12"/>
      <c r="D839" s="13"/>
      <c r="E839" s="14"/>
      <c r="G839" s="16"/>
      <c r="H839" s="16"/>
      <c r="I839" s="16"/>
      <c r="M839" s="17"/>
      <c r="P839" s="8"/>
    </row>
    <row r="840" spans="3:16" ht="15.75" customHeight="1" x14ac:dyDescent="0.2">
      <c r="C840" s="12"/>
      <c r="D840" s="13"/>
      <c r="E840" s="14"/>
      <c r="G840" s="16"/>
      <c r="H840" s="16"/>
      <c r="I840" s="16"/>
      <c r="M840" s="17"/>
      <c r="P840" s="8"/>
    </row>
    <row r="841" spans="3:16" ht="15.75" customHeight="1" x14ac:dyDescent="0.2">
      <c r="C841" s="12"/>
      <c r="D841" s="13"/>
      <c r="E841" s="14"/>
      <c r="G841" s="16"/>
      <c r="H841" s="16"/>
      <c r="I841" s="16"/>
      <c r="M841" s="17"/>
      <c r="P841" s="8"/>
    </row>
    <row r="842" spans="3:16" ht="15.75" customHeight="1" x14ac:dyDescent="0.2">
      <c r="C842" s="12"/>
      <c r="D842" s="13"/>
      <c r="E842" s="14"/>
      <c r="G842" s="16"/>
      <c r="H842" s="16"/>
      <c r="I842" s="16"/>
      <c r="M842" s="17"/>
      <c r="P842" s="8"/>
    </row>
    <row r="843" spans="3:16" ht="15.75" customHeight="1" x14ac:dyDescent="0.2">
      <c r="C843" s="12"/>
      <c r="D843" s="13"/>
      <c r="E843" s="14"/>
      <c r="G843" s="16"/>
      <c r="H843" s="16"/>
      <c r="I843" s="16"/>
      <c r="M843" s="17"/>
      <c r="P843" s="8"/>
    </row>
    <row r="844" spans="3:16" ht="15.75" customHeight="1" x14ac:dyDescent="0.2">
      <c r="C844" s="12"/>
      <c r="D844" s="13"/>
      <c r="E844" s="14"/>
      <c r="G844" s="16"/>
      <c r="H844" s="16"/>
      <c r="I844" s="16"/>
      <c r="M844" s="17"/>
      <c r="P844" s="8"/>
    </row>
    <row r="845" spans="3:16" ht="15.75" customHeight="1" x14ac:dyDescent="0.2">
      <c r="C845" s="12"/>
      <c r="D845" s="13"/>
      <c r="E845" s="14"/>
      <c r="G845" s="16"/>
      <c r="H845" s="16"/>
      <c r="I845" s="16"/>
      <c r="M845" s="17"/>
      <c r="P845" s="8"/>
    </row>
    <row r="846" spans="3:16" ht="15.75" customHeight="1" x14ac:dyDescent="0.2">
      <c r="C846" s="12"/>
      <c r="D846" s="13"/>
      <c r="E846" s="14"/>
      <c r="G846" s="16"/>
      <c r="H846" s="16"/>
      <c r="I846" s="16"/>
      <c r="M846" s="17"/>
      <c r="P846" s="8"/>
    </row>
    <row r="847" spans="3:16" ht="15.75" customHeight="1" x14ac:dyDescent="0.2">
      <c r="C847" s="12"/>
      <c r="D847" s="13"/>
      <c r="E847" s="14"/>
      <c r="G847" s="16"/>
      <c r="H847" s="16"/>
      <c r="I847" s="16"/>
      <c r="M847" s="17"/>
      <c r="P847" s="8"/>
    </row>
    <row r="848" spans="3:16" ht="15.75" customHeight="1" x14ac:dyDescent="0.2">
      <c r="C848" s="12"/>
      <c r="D848" s="13"/>
      <c r="E848" s="14"/>
      <c r="G848" s="16"/>
      <c r="H848" s="16"/>
      <c r="I848" s="16"/>
      <c r="M848" s="17"/>
      <c r="P848" s="8"/>
    </row>
    <row r="849" spans="3:16" ht="15.75" customHeight="1" x14ac:dyDescent="0.2">
      <c r="C849" s="12"/>
      <c r="D849" s="13"/>
      <c r="E849" s="14"/>
      <c r="G849" s="16"/>
      <c r="H849" s="16"/>
      <c r="I849" s="16"/>
      <c r="M849" s="17"/>
      <c r="P849" s="8"/>
    </row>
    <row r="850" spans="3:16" ht="15.75" customHeight="1" x14ac:dyDescent="0.2">
      <c r="C850" s="12"/>
      <c r="D850" s="13"/>
      <c r="E850" s="14"/>
      <c r="G850" s="16"/>
      <c r="H850" s="16"/>
      <c r="I850" s="16"/>
      <c r="M850" s="17"/>
      <c r="P850" s="8"/>
    </row>
    <row r="851" spans="3:16" ht="15.75" customHeight="1" x14ac:dyDescent="0.2">
      <c r="C851" s="12"/>
      <c r="D851" s="13"/>
      <c r="E851" s="14"/>
      <c r="G851" s="16"/>
      <c r="H851" s="16"/>
      <c r="I851" s="16"/>
      <c r="M851" s="17"/>
      <c r="P851" s="8"/>
    </row>
    <row r="852" spans="3:16" ht="15.75" customHeight="1" x14ac:dyDescent="0.2">
      <c r="C852" s="12"/>
      <c r="D852" s="13"/>
      <c r="E852" s="14"/>
      <c r="G852" s="16"/>
      <c r="H852" s="16"/>
      <c r="I852" s="16"/>
      <c r="M852" s="17"/>
      <c r="P852" s="8"/>
    </row>
    <row r="853" spans="3:16" ht="15.75" customHeight="1" x14ac:dyDescent="0.2">
      <c r="C853" s="12"/>
      <c r="D853" s="13"/>
      <c r="E853" s="14"/>
      <c r="G853" s="16"/>
      <c r="H853" s="16"/>
      <c r="I853" s="16"/>
      <c r="M853" s="17"/>
      <c r="P853" s="8"/>
    </row>
    <row r="854" spans="3:16" ht="15.75" customHeight="1" x14ac:dyDescent="0.2">
      <c r="C854" s="12"/>
      <c r="D854" s="13"/>
      <c r="E854" s="14"/>
      <c r="G854" s="16"/>
      <c r="H854" s="16"/>
      <c r="I854" s="16"/>
      <c r="M854" s="17"/>
      <c r="P854" s="8"/>
    </row>
    <row r="855" spans="3:16" ht="15.75" customHeight="1" x14ac:dyDescent="0.2">
      <c r="C855" s="12"/>
      <c r="D855" s="13"/>
      <c r="E855" s="14"/>
      <c r="G855" s="16"/>
      <c r="H855" s="16"/>
      <c r="I855" s="16"/>
      <c r="M855" s="17"/>
      <c r="P855" s="8"/>
    </row>
    <row r="856" spans="3:16" ht="15.75" customHeight="1" x14ac:dyDescent="0.2">
      <c r="C856" s="12"/>
      <c r="D856" s="13"/>
      <c r="E856" s="14"/>
      <c r="G856" s="16"/>
      <c r="H856" s="16"/>
      <c r="I856" s="16"/>
      <c r="M856" s="17"/>
      <c r="P856" s="8"/>
    </row>
    <row r="857" spans="3:16" ht="15.75" customHeight="1" x14ac:dyDescent="0.2">
      <c r="C857" s="12"/>
      <c r="D857" s="13"/>
      <c r="E857" s="14"/>
      <c r="G857" s="16"/>
      <c r="H857" s="16"/>
      <c r="I857" s="16"/>
      <c r="M857" s="17"/>
      <c r="P857" s="8"/>
    </row>
    <row r="858" spans="3:16" ht="15.75" customHeight="1" x14ac:dyDescent="0.2">
      <c r="C858" s="12"/>
      <c r="D858" s="13"/>
      <c r="E858" s="14"/>
      <c r="G858" s="16"/>
      <c r="H858" s="16"/>
      <c r="I858" s="16"/>
      <c r="M858" s="17"/>
      <c r="P858" s="8"/>
    </row>
    <row r="859" spans="3:16" ht="15.75" customHeight="1" x14ac:dyDescent="0.2">
      <c r="C859" s="12"/>
      <c r="D859" s="13"/>
      <c r="E859" s="14"/>
      <c r="G859" s="16"/>
      <c r="H859" s="16"/>
      <c r="I859" s="16"/>
      <c r="M859" s="17"/>
      <c r="P859" s="8"/>
    </row>
    <row r="860" spans="3:16" ht="15.75" customHeight="1" x14ac:dyDescent="0.2">
      <c r="C860" s="12"/>
      <c r="D860" s="13"/>
      <c r="E860" s="14"/>
      <c r="G860" s="16"/>
      <c r="H860" s="16"/>
      <c r="I860" s="16"/>
      <c r="M860" s="17"/>
      <c r="P860" s="8"/>
    </row>
    <row r="861" spans="3:16" ht="15.75" customHeight="1" x14ac:dyDescent="0.2">
      <c r="C861" s="12"/>
      <c r="D861" s="13"/>
      <c r="E861" s="14"/>
      <c r="G861" s="16"/>
      <c r="H861" s="16"/>
      <c r="I861" s="16"/>
      <c r="M861" s="17"/>
      <c r="P861" s="8"/>
    </row>
    <row r="862" spans="3:16" ht="15.75" customHeight="1" x14ac:dyDescent="0.2">
      <c r="C862" s="12"/>
      <c r="D862" s="13"/>
      <c r="E862" s="14"/>
      <c r="G862" s="16"/>
      <c r="H862" s="16"/>
      <c r="I862" s="16"/>
      <c r="M862" s="17"/>
      <c r="P862" s="8"/>
    </row>
    <row r="863" spans="3:16" ht="15.75" customHeight="1" x14ac:dyDescent="0.2">
      <c r="C863" s="12"/>
      <c r="D863" s="13"/>
      <c r="E863" s="14"/>
      <c r="G863" s="16"/>
      <c r="H863" s="16"/>
      <c r="I863" s="16"/>
      <c r="M863" s="17"/>
      <c r="P863" s="8"/>
    </row>
    <row r="864" spans="3:16" ht="15.75" customHeight="1" x14ac:dyDescent="0.2">
      <c r="C864" s="12"/>
      <c r="D864" s="13"/>
      <c r="E864" s="14"/>
      <c r="G864" s="16"/>
      <c r="H864" s="16"/>
      <c r="I864" s="16"/>
      <c r="M864" s="17"/>
      <c r="P864" s="8"/>
    </row>
    <row r="865" spans="3:16" ht="15.75" customHeight="1" x14ac:dyDescent="0.2">
      <c r="C865" s="12"/>
      <c r="D865" s="13"/>
      <c r="E865" s="14"/>
      <c r="G865" s="16"/>
      <c r="H865" s="16"/>
      <c r="I865" s="16"/>
      <c r="M865" s="17"/>
      <c r="P865" s="8"/>
    </row>
    <row r="866" spans="3:16" ht="15.75" customHeight="1" x14ac:dyDescent="0.2">
      <c r="C866" s="12"/>
      <c r="D866" s="13"/>
      <c r="E866" s="14"/>
      <c r="G866" s="16"/>
      <c r="H866" s="16"/>
      <c r="I866" s="16"/>
      <c r="M866" s="17"/>
      <c r="P866" s="8"/>
    </row>
    <row r="867" spans="3:16" ht="15.75" customHeight="1" x14ac:dyDescent="0.2">
      <c r="C867" s="12"/>
      <c r="D867" s="13"/>
      <c r="E867" s="14"/>
      <c r="G867" s="16"/>
      <c r="H867" s="16"/>
      <c r="I867" s="16"/>
      <c r="M867" s="17"/>
      <c r="P867" s="8"/>
    </row>
    <row r="868" spans="3:16" ht="15.75" customHeight="1" x14ac:dyDescent="0.2">
      <c r="C868" s="12"/>
      <c r="D868" s="13"/>
      <c r="E868" s="14"/>
      <c r="G868" s="16"/>
      <c r="H868" s="16"/>
      <c r="I868" s="16"/>
      <c r="M868" s="17"/>
      <c r="P868" s="8"/>
    </row>
    <row r="869" spans="3:16" ht="15.75" customHeight="1" x14ac:dyDescent="0.2">
      <c r="C869" s="12"/>
      <c r="D869" s="13"/>
      <c r="E869" s="14"/>
      <c r="G869" s="16"/>
      <c r="H869" s="16"/>
      <c r="I869" s="16"/>
      <c r="M869" s="17"/>
      <c r="P869" s="8"/>
    </row>
    <row r="870" spans="3:16" ht="15.75" customHeight="1" x14ac:dyDescent="0.2">
      <c r="C870" s="12"/>
      <c r="D870" s="13"/>
      <c r="E870" s="14"/>
      <c r="G870" s="16"/>
      <c r="H870" s="16"/>
      <c r="I870" s="16"/>
      <c r="M870" s="17"/>
      <c r="P870" s="8"/>
    </row>
    <row r="871" spans="3:16" ht="15.75" customHeight="1" x14ac:dyDescent="0.2">
      <c r="C871" s="12"/>
      <c r="D871" s="13"/>
      <c r="E871" s="14"/>
      <c r="G871" s="16"/>
      <c r="H871" s="16"/>
      <c r="I871" s="16"/>
      <c r="M871" s="17"/>
      <c r="P871" s="8"/>
    </row>
    <row r="872" spans="3:16" ht="15.75" customHeight="1" x14ac:dyDescent="0.2">
      <c r="C872" s="12"/>
      <c r="D872" s="13"/>
      <c r="E872" s="14"/>
      <c r="G872" s="16"/>
      <c r="H872" s="16"/>
      <c r="I872" s="16"/>
      <c r="M872" s="17"/>
      <c r="P872" s="8"/>
    </row>
    <row r="873" spans="3:16" ht="15.75" customHeight="1" x14ac:dyDescent="0.2">
      <c r="C873" s="12"/>
      <c r="D873" s="13"/>
      <c r="E873" s="14"/>
      <c r="G873" s="16"/>
      <c r="H873" s="16"/>
      <c r="I873" s="16"/>
      <c r="M873" s="17"/>
      <c r="P873" s="8"/>
    </row>
    <row r="874" spans="3:16" ht="15.75" customHeight="1" x14ac:dyDescent="0.2">
      <c r="C874" s="12"/>
      <c r="D874" s="13"/>
      <c r="E874" s="14"/>
      <c r="G874" s="16"/>
      <c r="H874" s="16"/>
      <c r="I874" s="16"/>
      <c r="M874" s="17"/>
      <c r="P874" s="8"/>
    </row>
    <row r="875" spans="3:16" ht="15.75" customHeight="1" x14ac:dyDescent="0.2">
      <c r="C875" s="12"/>
      <c r="D875" s="13"/>
      <c r="E875" s="14"/>
      <c r="G875" s="16"/>
      <c r="H875" s="16"/>
      <c r="I875" s="16"/>
      <c r="M875" s="17"/>
      <c r="P875" s="8"/>
    </row>
    <row r="876" spans="3:16" ht="15.75" customHeight="1" x14ac:dyDescent="0.2">
      <c r="C876" s="12"/>
      <c r="D876" s="13"/>
      <c r="E876" s="14"/>
      <c r="G876" s="16"/>
      <c r="H876" s="16"/>
      <c r="I876" s="16"/>
      <c r="M876" s="17"/>
      <c r="P876" s="8"/>
    </row>
    <row r="877" spans="3:16" ht="15.75" customHeight="1" x14ac:dyDescent="0.2">
      <c r="C877" s="12"/>
      <c r="D877" s="13"/>
      <c r="E877" s="14"/>
      <c r="G877" s="16"/>
      <c r="H877" s="16"/>
      <c r="I877" s="16"/>
      <c r="M877" s="17"/>
      <c r="P877" s="8"/>
    </row>
    <row r="878" spans="3:16" ht="15.75" customHeight="1" x14ac:dyDescent="0.2">
      <c r="C878" s="12"/>
      <c r="D878" s="13"/>
      <c r="E878" s="14"/>
      <c r="G878" s="16"/>
      <c r="H878" s="16"/>
      <c r="I878" s="16"/>
      <c r="M878" s="17"/>
      <c r="P878" s="8"/>
    </row>
    <row r="879" spans="3:16" ht="15.75" customHeight="1" x14ac:dyDescent="0.2">
      <c r="C879" s="12"/>
      <c r="D879" s="13"/>
      <c r="E879" s="14"/>
      <c r="G879" s="16"/>
      <c r="H879" s="16"/>
      <c r="I879" s="16"/>
      <c r="M879" s="17"/>
      <c r="P879" s="8"/>
    </row>
    <row r="880" spans="3:16" ht="15.75" customHeight="1" x14ac:dyDescent="0.2">
      <c r="C880" s="12"/>
      <c r="D880" s="13"/>
      <c r="E880" s="14"/>
      <c r="G880" s="16"/>
      <c r="H880" s="16"/>
      <c r="I880" s="16"/>
      <c r="M880" s="17"/>
      <c r="P880" s="8"/>
    </row>
    <row r="881" spans="3:16" ht="15.75" customHeight="1" x14ac:dyDescent="0.2">
      <c r="C881" s="12"/>
      <c r="D881" s="13"/>
      <c r="E881" s="14"/>
      <c r="G881" s="16"/>
      <c r="H881" s="16"/>
      <c r="I881" s="16"/>
      <c r="M881" s="17"/>
      <c r="P881" s="8"/>
    </row>
    <row r="882" spans="3:16" ht="15.75" customHeight="1" x14ac:dyDescent="0.2">
      <c r="C882" s="12"/>
      <c r="D882" s="13"/>
      <c r="E882" s="14"/>
      <c r="G882" s="16"/>
      <c r="H882" s="16"/>
      <c r="I882" s="16"/>
      <c r="M882" s="17"/>
      <c r="P882" s="8"/>
    </row>
    <row r="883" spans="3:16" ht="15.75" customHeight="1" x14ac:dyDescent="0.2">
      <c r="C883" s="12"/>
      <c r="D883" s="13"/>
      <c r="E883" s="14"/>
      <c r="G883" s="16"/>
      <c r="H883" s="16"/>
      <c r="I883" s="16"/>
      <c r="M883" s="17"/>
      <c r="P883" s="8"/>
    </row>
    <row r="884" spans="3:16" ht="15.75" customHeight="1" x14ac:dyDescent="0.2">
      <c r="C884" s="12"/>
      <c r="D884" s="13"/>
      <c r="E884" s="14"/>
      <c r="G884" s="16"/>
      <c r="H884" s="16"/>
      <c r="I884" s="16"/>
      <c r="M884" s="17"/>
      <c r="P884" s="8"/>
    </row>
    <row r="885" spans="3:16" ht="15.75" customHeight="1" x14ac:dyDescent="0.2">
      <c r="C885" s="12"/>
      <c r="D885" s="13"/>
      <c r="E885" s="14"/>
      <c r="G885" s="16"/>
      <c r="H885" s="16"/>
      <c r="I885" s="16"/>
      <c r="M885" s="17"/>
      <c r="P885" s="8"/>
    </row>
    <row r="886" spans="3:16" ht="15.75" customHeight="1" x14ac:dyDescent="0.2">
      <c r="C886" s="12"/>
      <c r="D886" s="13"/>
      <c r="E886" s="14"/>
      <c r="G886" s="16"/>
      <c r="H886" s="16"/>
      <c r="I886" s="16"/>
      <c r="M886" s="17"/>
      <c r="P886" s="8"/>
    </row>
    <row r="887" spans="3:16" ht="15.75" customHeight="1" x14ac:dyDescent="0.2">
      <c r="C887" s="12"/>
      <c r="D887" s="13"/>
      <c r="E887" s="14"/>
      <c r="G887" s="16"/>
      <c r="H887" s="16"/>
      <c r="I887" s="16"/>
      <c r="M887" s="17"/>
      <c r="P887" s="8"/>
    </row>
    <row r="888" spans="3:16" ht="15.75" customHeight="1" x14ac:dyDescent="0.2">
      <c r="C888" s="12"/>
      <c r="D888" s="13"/>
      <c r="E888" s="14"/>
      <c r="G888" s="16"/>
      <c r="H888" s="16"/>
      <c r="I888" s="16"/>
      <c r="M888" s="17"/>
      <c r="P888" s="8"/>
    </row>
    <row r="889" spans="3:16" ht="15.75" customHeight="1" x14ac:dyDescent="0.2">
      <c r="C889" s="12"/>
      <c r="D889" s="13"/>
      <c r="E889" s="14"/>
      <c r="G889" s="16"/>
      <c r="H889" s="16"/>
      <c r="I889" s="16"/>
      <c r="M889" s="17"/>
      <c r="P889" s="8"/>
    </row>
    <row r="890" spans="3:16" ht="15.75" customHeight="1" x14ac:dyDescent="0.2">
      <c r="C890" s="12"/>
      <c r="D890" s="13"/>
      <c r="E890" s="14"/>
      <c r="G890" s="16"/>
      <c r="H890" s="16"/>
      <c r="I890" s="16"/>
      <c r="M890" s="17"/>
      <c r="P890" s="8"/>
    </row>
    <row r="891" spans="3:16" ht="15.75" customHeight="1" x14ac:dyDescent="0.2">
      <c r="C891" s="12"/>
      <c r="D891" s="13"/>
      <c r="E891" s="14"/>
      <c r="G891" s="16"/>
      <c r="H891" s="16"/>
      <c r="I891" s="16"/>
      <c r="M891" s="17"/>
      <c r="P891" s="8"/>
    </row>
    <row r="892" spans="3:16" ht="15.75" customHeight="1" x14ac:dyDescent="0.2">
      <c r="C892" s="12"/>
      <c r="D892" s="13"/>
      <c r="E892" s="14"/>
      <c r="G892" s="16"/>
      <c r="H892" s="16"/>
      <c r="I892" s="16"/>
      <c r="M892" s="17"/>
      <c r="P892" s="8"/>
    </row>
    <row r="893" spans="3:16" ht="15.75" customHeight="1" x14ac:dyDescent="0.2">
      <c r="C893" s="12"/>
      <c r="D893" s="13"/>
      <c r="E893" s="14"/>
      <c r="G893" s="16"/>
      <c r="H893" s="16"/>
      <c r="I893" s="16"/>
      <c r="M893" s="17"/>
      <c r="P893" s="8"/>
    </row>
    <row r="894" spans="3:16" ht="15.75" customHeight="1" x14ac:dyDescent="0.2">
      <c r="C894" s="12"/>
      <c r="D894" s="13"/>
      <c r="E894" s="14"/>
      <c r="G894" s="16"/>
      <c r="H894" s="16"/>
      <c r="I894" s="16"/>
      <c r="M894" s="17"/>
      <c r="P894" s="8"/>
    </row>
    <row r="895" spans="3:16" ht="15.75" customHeight="1" x14ac:dyDescent="0.2">
      <c r="C895" s="12"/>
      <c r="D895" s="13"/>
      <c r="E895" s="14"/>
      <c r="G895" s="16"/>
      <c r="H895" s="16"/>
      <c r="I895" s="16"/>
      <c r="M895" s="17"/>
      <c r="P895" s="8"/>
    </row>
    <row r="896" spans="3:16" ht="15.75" customHeight="1" x14ac:dyDescent="0.2">
      <c r="C896" s="12"/>
      <c r="D896" s="13"/>
      <c r="E896" s="14"/>
      <c r="G896" s="16"/>
      <c r="H896" s="16"/>
      <c r="I896" s="16"/>
      <c r="M896" s="17"/>
      <c r="P896" s="8"/>
    </row>
    <row r="897" spans="3:16" ht="15.75" customHeight="1" x14ac:dyDescent="0.2">
      <c r="C897" s="12"/>
      <c r="D897" s="13"/>
      <c r="E897" s="14"/>
      <c r="G897" s="16"/>
      <c r="H897" s="16"/>
      <c r="I897" s="16"/>
      <c r="M897" s="17"/>
      <c r="P897" s="8"/>
    </row>
    <row r="898" spans="3:16" ht="15.75" customHeight="1" x14ac:dyDescent="0.2">
      <c r="C898" s="12"/>
      <c r="D898" s="13"/>
      <c r="E898" s="14"/>
      <c r="G898" s="16"/>
      <c r="H898" s="16"/>
      <c r="I898" s="16"/>
      <c r="M898" s="17"/>
      <c r="P898" s="8"/>
    </row>
    <row r="899" spans="3:16" ht="15.75" customHeight="1" x14ac:dyDescent="0.2">
      <c r="C899" s="12"/>
      <c r="D899" s="13"/>
      <c r="E899" s="14"/>
      <c r="G899" s="16"/>
      <c r="H899" s="16"/>
      <c r="I899" s="16"/>
      <c r="M899" s="17"/>
      <c r="P899" s="8"/>
    </row>
    <row r="900" spans="3:16" ht="15.75" customHeight="1" x14ac:dyDescent="0.2">
      <c r="C900" s="12"/>
      <c r="D900" s="13"/>
      <c r="E900" s="14"/>
      <c r="G900" s="16"/>
      <c r="H900" s="16"/>
      <c r="I900" s="16"/>
      <c r="M900" s="17"/>
      <c r="P900" s="8"/>
    </row>
    <row r="901" spans="3:16" ht="15.75" customHeight="1" x14ac:dyDescent="0.2">
      <c r="C901" s="12"/>
      <c r="D901" s="13"/>
      <c r="E901" s="14"/>
      <c r="G901" s="16"/>
      <c r="H901" s="16"/>
      <c r="I901" s="16"/>
      <c r="M901" s="17"/>
      <c r="P901" s="8"/>
    </row>
    <row r="902" spans="3:16" ht="15.75" customHeight="1" x14ac:dyDescent="0.2">
      <c r="C902" s="12"/>
      <c r="D902" s="13"/>
      <c r="E902" s="14"/>
      <c r="G902" s="16"/>
      <c r="H902" s="16"/>
      <c r="I902" s="16"/>
      <c r="M902" s="17"/>
      <c r="P902" s="8"/>
    </row>
    <row r="903" spans="3:16" ht="15.75" customHeight="1" x14ac:dyDescent="0.2">
      <c r="C903" s="12"/>
      <c r="D903" s="13"/>
      <c r="E903" s="14"/>
      <c r="G903" s="16"/>
      <c r="H903" s="16"/>
      <c r="I903" s="16"/>
      <c r="M903" s="17"/>
      <c r="P903" s="8"/>
    </row>
    <row r="904" spans="3:16" ht="15.75" customHeight="1" x14ac:dyDescent="0.2">
      <c r="C904" s="12"/>
      <c r="D904" s="13"/>
      <c r="E904" s="14"/>
      <c r="G904" s="16"/>
      <c r="H904" s="16"/>
      <c r="I904" s="16"/>
      <c r="M904" s="17"/>
      <c r="P904" s="8"/>
    </row>
    <row r="905" spans="3:16" ht="15.75" customHeight="1" x14ac:dyDescent="0.2">
      <c r="C905" s="12"/>
      <c r="D905" s="13"/>
      <c r="E905" s="14"/>
      <c r="G905" s="16"/>
      <c r="H905" s="16"/>
      <c r="I905" s="16"/>
      <c r="M905" s="17"/>
      <c r="P905" s="8"/>
    </row>
    <row r="906" spans="3:16" ht="15.75" customHeight="1" x14ac:dyDescent="0.2">
      <c r="C906" s="12"/>
      <c r="D906" s="13"/>
      <c r="E906" s="14"/>
      <c r="G906" s="16"/>
      <c r="H906" s="16"/>
      <c r="I906" s="16"/>
      <c r="M906" s="17"/>
      <c r="P906" s="8"/>
    </row>
    <row r="907" spans="3:16" ht="15.75" customHeight="1" x14ac:dyDescent="0.2">
      <c r="C907" s="12"/>
      <c r="D907" s="13"/>
      <c r="E907" s="14"/>
      <c r="G907" s="16"/>
      <c r="H907" s="16"/>
      <c r="I907" s="16"/>
      <c r="M907" s="17"/>
      <c r="P907" s="8"/>
    </row>
    <row r="908" spans="3:16" ht="15.75" customHeight="1" x14ac:dyDescent="0.2">
      <c r="C908" s="12"/>
      <c r="D908" s="13"/>
      <c r="E908" s="14"/>
      <c r="G908" s="16"/>
      <c r="H908" s="16"/>
      <c r="I908" s="16"/>
      <c r="M908" s="17"/>
      <c r="P908" s="8"/>
    </row>
    <row r="909" spans="3:16" ht="15.75" customHeight="1" x14ac:dyDescent="0.2">
      <c r="C909" s="12"/>
      <c r="D909" s="13"/>
      <c r="E909" s="14"/>
      <c r="G909" s="16"/>
      <c r="H909" s="16"/>
      <c r="I909" s="16"/>
      <c r="M909" s="17"/>
      <c r="P909" s="8"/>
    </row>
    <row r="910" spans="3:16" ht="15.75" customHeight="1" x14ac:dyDescent="0.2">
      <c r="C910" s="12"/>
      <c r="D910" s="13"/>
      <c r="E910" s="14"/>
      <c r="G910" s="16"/>
      <c r="H910" s="16"/>
      <c r="I910" s="16"/>
      <c r="M910" s="17"/>
      <c r="P910" s="8"/>
    </row>
    <row r="911" spans="3:16" ht="15.75" customHeight="1" x14ac:dyDescent="0.2">
      <c r="C911" s="12"/>
      <c r="D911" s="13"/>
      <c r="E911" s="14"/>
      <c r="G911" s="16"/>
      <c r="H911" s="16"/>
      <c r="I911" s="16"/>
      <c r="M911" s="17"/>
      <c r="P911" s="8"/>
    </row>
    <row r="912" spans="3:16" ht="15.75" customHeight="1" x14ac:dyDescent="0.2">
      <c r="C912" s="12"/>
      <c r="D912" s="13"/>
      <c r="E912" s="14"/>
      <c r="G912" s="16"/>
      <c r="H912" s="16"/>
      <c r="I912" s="16"/>
      <c r="M912" s="17"/>
      <c r="P912" s="8"/>
    </row>
    <row r="913" spans="3:16" ht="15.75" customHeight="1" x14ac:dyDescent="0.2">
      <c r="C913" s="12"/>
      <c r="D913" s="13"/>
      <c r="E913" s="14"/>
      <c r="G913" s="16"/>
      <c r="H913" s="16"/>
      <c r="I913" s="16"/>
      <c r="M913" s="17"/>
      <c r="P913" s="8"/>
    </row>
    <row r="914" spans="3:16" ht="15.75" customHeight="1" x14ac:dyDescent="0.2">
      <c r="C914" s="12"/>
      <c r="D914" s="13"/>
      <c r="E914" s="14"/>
      <c r="G914" s="16"/>
      <c r="H914" s="16"/>
      <c r="I914" s="16"/>
      <c r="M914" s="17"/>
      <c r="P914" s="8"/>
    </row>
    <row r="915" spans="3:16" ht="15.75" customHeight="1" x14ac:dyDescent="0.2">
      <c r="C915" s="12"/>
      <c r="D915" s="13"/>
      <c r="E915" s="14"/>
      <c r="G915" s="16"/>
      <c r="H915" s="16"/>
      <c r="I915" s="16"/>
      <c r="M915" s="17"/>
      <c r="P915" s="8"/>
    </row>
    <row r="916" spans="3:16" ht="15.75" customHeight="1" x14ac:dyDescent="0.2">
      <c r="C916" s="12"/>
      <c r="D916" s="13"/>
      <c r="E916" s="14"/>
      <c r="G916" s="16"/>
      <c r="H916" s="16"/>
      <c r="I916" s="16"/>
      <c r="M916" s="17"/>
      <c r="P916" s="8"/>
    </row>
    <row r="917" spans="3:16" ht="15.75" customHeight="1" x14ac:dyDescent="0.2">
      <c r="C917" s="12"/>
      <c r="D917" s="13"/>
      <c r="E917" s="14"/>
      <c r="G917" s="16"/>
      <c r="H917" s="16"/>
      <c r="I917" s="16"/>
      <c r="M917" s="17"/>
      <c r="P917" s="8"/>
    </row>
    <row r="918" spans="3:16" ht="15.75" customHeight="1" x14ac:dyDescent="0.2">
      <c r="C918" s="12"/>
      <c r="D918" s="13"/>
      <c r="E918" s="14"/>
      <c r="G918" s="16"/>
      <c r="H918" s="16"/>
      <c r="I918" s="16"/>
      <c r="M918" s="17"/>
      <c r="P918" s="8"/>
    </row>
    <row r="919" spans="3:16" ht="15.75" customHeight="1" x14ac:dyDescent="0.2">
      <c r="C919" s="12"/>
      <c r="D919" s="13"/>
      <c r="E919" s="14"/>
      <c r="G919" s="16"/>
      <c r="H919" s="16"/>
      <c r="I919" s="16"/>
      <c r="M919" s="17"/>
      <c r="P919" s="8"/>
    </row>
    <row r="920" spans="3:16" ht="15.75" customHeight="1" x14ac:dyDescent="0.2">
      <c r="C920" s="12"/>
      <c r="D920" s="13"/>
      <c r="E920" s="14"/>
      <c r="G920" s="16"/>
      <c r="H920" s="16"/>
      <c r="I920" s="16"/>
      <c r="M920" s="17"/>
      <c r="P920" s="8"/>
    </row>
    <row r="921" spans="3:16" ht="15.75" customHeight="1" x14ac:dyDescent="0.2">
      <c r="C921" s="12"/>
      <c r="D921" s="13"/>
      <c r="E921" s="14"/>
      <c r="G921" s="16"/>
      <c r="H921" s="16"/>
      <c r="I921" s="16"/>
      <c r="M921" s="17"/>
      <c r="P921" s="8"/>
    </row>
    <row r="922" spans="3:16" ht="15.75" customHeight="1" x14ac:dyDescent="0.2">
      <c r="C922" s="12"/>
      <c r="D922" s="13"/>
      <c r="E922" s="14"/>
      <c r="G922" s="16"/>
      <c r="H922" s="16"/>
      <c r="I922" s="16"/>
      <c r="M922" s="17"/>
      <c r="P922" s="8"/>
    </row>
    <row r="923" spans="3:16" ht="15.75" customHeight="1" x14ac:dyDescent="0.2">
      <c r="C923" s="12"/>
      <c r="D923" s="13"/>
      <c r="E923" s="14"/>
      <c r="G923" s="16"/>
      <c r="H923" s="16"/>
      <c r="I923" s="16"/>
      <c r="M923" s="17"/>
      <c r="P923" s="8"/>
    </row>
    <row r="924" spans="3:16" ht="15.75" customHeight="1" x14ac:dyDescent="0.2">
      <c r="C924" s="12"/>
      <c r="D924" s="13"/>
      <c r="E924" s="14"/>
      <c r="G924" s="16"/>
      <c r="H924" s="16"/>
      <c r="I924" s="16"/>
      <c r="M924" s="17"/>
      <c r="P924" s="8"/>
    </row>
    <row r="925" spans="3:16" ht="15.75" customHeight="1" x14ac:dyDescent="0.2">
      <c r="C925" s="12"/>
      <c r="D925" s="13"/>
      <c r="E925" s="14"/>
      <c r="G925" s="16"/>
      <c r="H925" s="16"/>
      <c r="I925" s="16"/>
      <c r="M925" s="17"/>
      <c r="P925" s="8"/>
    </row>
    <row r="926" spans="3:16" ht="15.75" customHeight="1" x14ac:dyDescent="0.2">
      <c r="C926" s="12"/>
      <c r="D926" s="13"/>
      <c r="E926" s="14"/>
      <c r="G926" s="16"/>
      <c r="H926" s="16"/>
      <c r="I926" s="16"/>
      <c r="M926" s="17"/>
      <c r="P926" s="8"/>
    </row>
    <row r="927" spans="3:16" ht="15.75" customHeight="1" x14ac:dyDescent="0.2">
      <c r="C927" s="12"/>
      <c r="D927" s="13"/>
      <c r="E927" s="14"/>
      <c r="G927" s="16"/>
      <c r="H927" s="16"/>
      <c r="I927" s="16"/>
      <c r="M927" s="17"/>
      <c r="P927" s="8"/>
    </row>
    <row r="928" spans="3:16" ht="15.75" customHeight="1" x14ac:dyDescent="0.2">
      <c r="C928" s="12"/>
      <c r="D928" s="13"/>
      <c r="E928" s="14"/>
      <c r="G928" s="16"/>
      <c r="H928" s="16"/>
      <c r="I928" s="16"/>
      <c r="M928" s="17"/>
      <c r="P928" s="8"/>
    </row>
    <row r="929" spans="3:16" ht="15.75" customHeight="1" x14ac:dyDescent="0.2">
      <c r="C929" s="12"/>
      <c r="D929" s="13"/>
      <c r="E929" s="14"/>
      <c r="G929" s="16"/>
      <c r="H929" s="16"/>
      <c r="I929" s="16"/>
      <c r="M929" s="17"/>
      <c r="P929" s="8"/>
    </row>
    <row r="930" spans="3:16" ht="15.75" customHeight="1" x14ac:dyDescent="0.2">
      <c r="C930" s="12"/>
      <c r="D930" s="13"/>
      <c r="E930" s="14"/>
      <c r="G930" s="16"/>
      <c r="H930" s="16"/>
      <c r="I930" s="16"/>
      <c r="M930" s="17"/>
      <c r="P930" s="8"/>
    </row>
    <row r="931" spans="3:16" ht="15.75" customHeight="1" x14ac:dyDescent="0.2">
      <c r="C931" s="12"/>
      <c r="D931" s="13"/>
      <c r="E931" s="14"/>
      <c r="G931" s="16"/>
      <c r="H931" s="16"/>
      <c r="I931" s="16"/>
      <c r="M931" s="17"/>
      <c r="P931" s="8"/>
    </row>
    <row r="932" spans="3:16" ht="15.75" customHeight="1" x14ac:dyDescent="0.2">
      <c r="C932" s="12"/>
      <c r="D932" s="13"/>
      <c r="E932" s="14"/>
      <c r="G932" s="16"/>
      <c r="H932" s="16"/>
      <c r="I932" s="16"/>
      <c r="M932" s="17"/>
      <c r="P932" s="8"/>
    </row>
    <row r="933" spans="3:16" ht="15.75" customHeight="1" x14ac:dyDescent="0.2">
      <c r="C933" s="12"/>
      <c r="D933" s="13"/>
      <c r="E933" s="14"/>
      <c r="G933" s="16"/>
      <c r="H933" s="16"/>
      <c r="I933" s="16"/>
      <c r="M933" s="17"/>
      <c r="P933" s="8"/>
    </row>
    <row r="934" spans="3:16" ht="15.75" customHeight="1" x14ac:dyDescent="0.2">
      <c r="C934" s="12"/>
      <c r="D934" s="13"/>
      <c r="E934" s="14"/>
      <c r="G934" s="16"/>
      <c r="H934" s="16"/>
      <c r="I934" s="16"/>
      <c r="M934" s="17"/>
      <c r="P934" s="8"/>
    </row>
    <row r="935" spans="3:16" ht="15.75" customHeight="1" x14ac:dyDescent="0.2">
      <c r="C935" s="12"/>
      <c r="D935" s="13"/>
      <c r="E935" s="14"/>
      <c r="G935" s="16"/>
      <c r="H935" s="16"/>
      <c r="I935" s="16"/>
      <c r="M935" s="17"/>
      <c r="P935" s="8"/>
    </row>
    <row r="936" spans="3:16" ht="15.75" customHeight="1" x14ac:dyDescent="0.2">
      <c r="C936" s="12"/>
      <c r="D936" s="13"/>
      <c r="E936" s="14"/>
      <c r="G936" s="16"/>
      <c r="H936" s="16"/>
      <c r="I936" s="16"/>
      <c r="M936" s="17"/>
      <c r="P936" s="8"/>
    </row>
    <row r="937" spans="3:16" ht="15.75" customHeight="1" x14ac:dyDescent="0.2">
      <c r="C937" s="12"/>
      <c r="D937" s="13"/>
      <c r="E937" s="14"/>
      <c r="G937" s="16"/>
      <c r="H937" s="16"/>
      <c r="I937" s="16"/>
      <c r="M937" s="17"/>
      <c r="P937" s="8"/>
    </row>
    <row r="938" spans="3:16" ht="15.75" customHeight="1" x14ac:dyDescent="0.2">
      <c r="C938" s="12"/>
      <c r="D938" s="13"/>
      <c r="E938" s="14"/>
      <c r="G938" s="16"/>
      <c r="H938" s="16"/>
      <c r="I938" s="16"/>
      <c r="M938" s="17"/>
      <c r="P938" s="8"/>
    </row>
    <row r="939" spans="3:16" ht="15.75" customHeight="1" x14ac:dyDescent="0.2">
      <c r="C939" s="12"/>
      <c r="D939" s="13"/>
      <c r="E939" s="14"/>
      <c r="G939" s="16"/>
      <c r="H939" s="16"/>
      <c r="I939" s="16"/>
      <c r="M939" s="17"/>
      <c r="P939" s="8"/>
    </row>
    <row r="940" spans="3:16" ht="15.75" customHeight="1" x14ac:dyDescent="0.2">
      <c r="C940" s="12"/>
      <c r="D940" s="13"/>
      <c r="E940" s="14"/>
      <c r="G940" s="16"/>
      <c r="H940" s="16"/>
      <c r="I940" s="16"/>
      <c r="M940" s="17"/>
      <c r="P940" s="8"/>
    </row>
    <row r="941" spans="3:16" ht="15.75" customHeight="1" x14ac:dyDescent="0.2">
      <c r="C941" s="12"/>
      <c r="D941" s="13"/>
      <c r="E941" s="14"/>
      <c r="G941" s="16"/>
      <c r="H941" s="16"/>
      <c r="I941" s="16"/>
      <c r="M941" s="17"/>
      <c r="P941" s="8"/>
    </row>
    <row r="942" spans="3:16" ht="15.75" customHeight="1" x14ac:dyDescent="0.2">
      <c r="C942" s="12"/>
      <c r="D942" s="13"/>
      <c r="E942" s="14"/>
      <c r="G942" s="16"/>
      <c r="H942" s="16"/>
      <c r="I942" s="16"/>
      <c r="M942" s="17"/>
      <c r="P942" s="8"/>
    </row>
    <row r="943" spans="3:16" ht="15.75" customHeight="1" x14ac:dyDescent="0.2">
      <c r="C943" s="12"/>
      <c r="D943" s="13"/>
      <c r="E943" s="14"/>
      <c r="G943" s="16"/>
      <c r="H943" s="16"/>
      <c r="I943" s="16"/>
      <c r="M943" s="17"/>
      <c r="P943" s="8"/>
    </row>
    <row r="944" spans="3:16" ht="15.75" customHeight="1" x14ac:dyDescent="0.2">
      <c r="C944" s="12"/>
      <c r="D944" s="13"/>
      <c r="E944" s="14"/>
      <c r="G944" s="16"/>
      <c r="H944" s="16"/>
      <c r="I944" s="16"/>
      <c r="M944" s="17"/>
      <c r="P944" s="8"/>
    </row>
    <row r="945" spans="3:16" ht="15.75" customHeight="1" x14ac:dyDescent="0.2">
      <c r="C945" s="12"/>
      <c r="D945" s="13"/>
      <c r="E945" s="14"/>
      <c r="G945" s="16"/>
      <c r="H945" s="16"/>
      <c r="I945" s="16"/>
      <c r="M945" s="17"/>
      <c r="P945" s="8"/>
    </row>
    <row r="946" spans="3:16" ht="15.75" customHeight="1" x14ac:dyDescent="0.2">
      <c r="C946" s="12"/>
      <c r="D946" s="13"/>
      <c r="E946" s="14"/>
      <c r="G946" s="16"/>
      <c r="H946" s="16"/>
      <c r="I946" s="16"/>
      <c r="M946" s="17"/>
      <c r="P946" s="8"/>
    </row>
    <row r="947" spans="3:16" ht="15.75" customHeight="1" x14ac:dyDescent="0.2">
      <c r="C947" s="12"/>
      <c r="D947" s="13"/>
      <c r="E947" s="14"/>
      <c r="G947" s="16"/>
      <c r="H947" s="16"/>
      <c r="I947" s="16"/>
      <c r="M947" s="17"/>
      <c r="P947" s="8"/>
    </row>
    <row r="948" spans="3:16" ht="15.75" customHeight="1" x14ac:dyDescent="0.2">
      <c r="C948" s="12"/>
      <c r="D948" s="13"/>
      <c r="E948" s="14"/>
      <c r="G948" s="16"/>
      <c r="H948" s="16"/>
      <c r="I948" s="16"/>
      <c r="M948" s="17"/>
      <c r="P948" s="8"/>
    </row>
    <row r="949" spans="3:16" ht="15.75" customHeight="1" x14ac:dyDescent="0.2">
      <c r="C949" s="12"/>
      <c r="D949" s="13"/>
      <c r="E949" s="14"/>
      <c r="G949" s="16"/>
      <c r="H949" s="16"/>
      <c r="I949" s="16"/>
      <c r="M949" s="17"/>
      <c r="P949" s="8"/>
    </row>
    <row r="950" spans="3:16" ht="15.75" customHeight="1" x14ac:dyDescent="0.2">
      <c r="C950" s="12"/>
      <c r="D950" s="13"/>
      <c r="E950" s="14"/>
      <c r="G950" s="16"/>
      <c r="H950" s="16"/>
      <c r="I950" s="16"/>
      <c r="M950" s="17"/>
      <c r="P950" s="8"/>
    </row>
    <row r="951" spans="3:16" ht="15.75" customHeight="1" x14ac:dyDescent="0.2">
      <c r="C951" s="12"/>
      <c r="D951" s="13"/>
      <c r="E951" s="14"/>
      <c r="G951" s="16"/>
      <c r="H951" s="16"/>
      <c r="I951" s="16"/>
      <c r="M951" s="17"/>
      <c r="P951" s="8"/>
    </row>
    <row r="952" spans="3:16" ht="15.75" customHeight="1" x14ac:dyDescent="0.2">
      <c r="C952" s="12"/>
      <c r="D952" s="13"/>
      <c r="E952" s="14"/>
      <c r="G952" s="16"/>
      <c r="H952" s="16"/>
      <c r="I952" s="16"/>
      <c r="M952" s="17"/>
      <c r="P952" s="8"/>
    </row>
    <row r="953" spans="3:16" ht="15.75" customHeight="1" x14ac:dyDescent="0.2">
      <c r="C953" s="12"/>
      <c r="D953" s="13"/>
      <c r="E953" s="14"/>
      <c r="G953" s="16"/>
      <c r="H953" s="16"/>
      <c r="I953" s="16"/>
      <c r="M953" s="17"/>
      <c r="P953" s="8"/>
    </row>
    <row r="954" spans="3:16" ht="15.75" customHeight="1" x14ac:dyDescent="0.2">
      <c r="C954" s="12"/>
      <c r="D954" s="13"/>
      <c r="E954" s="14"/>
      <c r="G954" s="16"/>
      <c r="H954" s="16"/>
      <c r="I954" s="16"/>
      <c r="M954" s="17"/>
      <c r="P954" s="8"/>
    </row>
    <row r="955" spans="3:16" ht="15.75" customHeight="1" x14ac:dyDescent="0.2">
      <c r="C955" s="12"/>
      <c r="D955" s="13"/>
      <c r="E955" s="14"/>
      <c r="G955" s="16"/>
      <c r="H955" s="16"/>
      <c r="I955" s="16"/>
      <c r="M955" s="17"/>
      <c r="P955" s="8"/>
    </row>
    <row r="956" spans="3:16" ht="15.75" customHeight="1" x14ac:dyDescent="0.2">
      <c r="C956" s="12"/>
      <c r="D956" s="13"/>
      <c r="E956" s="14"/>
      <c r="G956" s="16"/>
      <c r="H956" s="16"/>
      <c r="I956" s="16"/>
      <c r="M956" s="17"/>
      <c r="P956" s="8"/>
    </row>
    <row r="957" spans="3:16" ht="15.75" customHeight="1" x14ac:dyDescent="0.2">
      <c r="C957" s="12"/>
      <c r="D957" s="13"/>
      <c r="E957" s="14"/>
      <c r="G957" s="16"/>
      <c r="H957" s="16"/>
      <c r="I957" s="16"/>
      <c r="M957" s="17"/>
      <c r="P957" s="8"/>
    </row>
    <row r="958" spans="3:16" ht="15.75" customHeight="1" x14ac:dyDescent="0.2">
      <c r="C958" s="12"/>
      <c r="D958" s="13"/>
      <c r="E958" s="14"/>
      <c r="G958" s="16"/>
      <c r="H958" s="16"/>
      <c r="I958" s="16"/>
      <c r="M958" s="17"/>
      <c r="P958" s="8"/>
    </row>
    <row r="959" spans="3:16" ht="15.75" customHeight="1" x14ac:dyDescent="0.2">
      <c r="C959" s="12"/>
      <c r="D959" s="13"/>
      <c r="E959" s="14"/>
      <c r="G959" s="16"/>
      <c r="H959" s="16"/>
      <c r="I959" s="16"/>
      <c r="M959" s="17"/>
      <c r="P959" s="8"/>
    </row>
    <row r="960" spans="3:16" ht="15.75" customHeight="1" x14ac:dyDescent="0.2">
      <c r="C960" s="12"/>
      <c r="D960" s="13"/>
      <c r="E960" s="14"/>
      <c r="G960" s="16"/>
      <c r="H960" s="16"/>
      <c r="I960" s="16"/>
      <c r="M960" s="17"/>
      <c r="P960" s="8"/>
    </row>
    <row r="961" spans="3:16" ht="15.75" customHeight="1" x14ac:dyDescent="0.2">
      <c r="C961" s="12"/>
      <c r="D961" s="13"/>
      <c r="E961" s="14"/>
      <c r="G961" s="16"/>
      <c r="H961" s="16"/>
      <c r="I961" s="16"/>
      <c r="M961" s="17"/>
      <c r="P961" s="8"/>
    </row>
    <row r="962" spans="3:16" ht="15.75" customHeight="1" x14ac:dyDescent="0.2">
      <c r="C962" s="12"/>
      <c r="D962" s="13"/>
      <c r="E962" s="14"/>
      <c r="G962" s="16"/>
      <c r="H962" s="16"/>
      <c r="I962" s="16"/>
      <c r="M962" s="17"/>
      <c r="P962" s="8"/>
    </row>
    <row r="963" spans="3:16" ht="15.75" customHeight="1" x14ac:dyDescent="0.2">
      <c r="C963" s="12"/>
      <c r="D963" s="13"/>
      <c r="E963" s="14"/>
      <c r="G963" s="16"/>
      <c r="H963" s="16"/>
      <c r="I963" s="16"/>
      <c r="M963" s="17"/>
      <c r="P963" s="8"/>
    </row>
    <row r="964" spans="3:16" ht="15.75" customHeight="1" x14ac:dyDescent="0.2">
      <c r="C964" s="12"/>
      <c r="D964" s="13"/>
      <c r="E964" s="14"/>
      <c r="G964" s="16"/>
      <c r="H964" s="16"/>
      <c r="I964" s="16"/>
      <c r="M964" s="17"/>
      <c r="P964" s="8"/>
    </row>
    <row r="965" spans="3:16" ht="15.75" customHeight="1" x14ac:dyDescent="0.2">
      <c r="C965" s="12"/>
      <c r="D965" s="13"/>
      <c r="E965" s="14"/>
      <c r="G965" s="16"/>
      <c r="H965" s="16"/>
      <c r="I965" s="16"/>
      <c r="M965" s="17"/>
      <c r="P965" s="8"/>
    </row>
    <row r="966" spans="3:16" ht="15.75" customHeight="1" x14ac:dyDescent="0.2">
      <c r="C966" s="12"/>
      <c r="D966" s="13"/>
      <c r="E966" s="14"/>
      <c r="G966" s="16"/>
      <c r="H966" s="16"/>
      <c r="I966" s="16"/>
      <c r="M966" s="17"/>
      <c r="P966" s="8"/>
    </row>
    <row r="967" spans="3:16" ht="15.75" customHeight="1" x14ac:dyDescent="0.2">
      <c r="C967" s="12"/>
      <c r="D967" s="13"/>
      <c r="E967" s="14"/>
      <c r="G967" s="16"/>
      <c r="H967" s="16"/>
      <c r="I967" s="16"/>
      <c r="M967" s="17"/>
      <c r="P967" s="8"/>
    </row>
    <row r="968" spans="3:16" ht="15.75" customHeight="1" x14ac:dyDescent="0.2">
      <c r="C968" s="12"/>
      <c r="D968" s="13"/>
      <c r="E968" s="14"/>
      <c r="G968" s="16"/>
      <c r="H968" s="16"/>
      <c r="I968" s="16"/>
      <c r="M968" s="17"/>
      <c r="P968" s="8"/>
    </row>
    <row r="969" spans="3:16" ht="15.75" customHeight="1" x14ac:dyDescent="0.2">
      <c r="C969" s="12"/>
      <c r="D969" s="13"/>
      <c r="E969" s="14"/>
      <c r="G969" s="16"/>
      <c r="H969" s="16"/>
      <c r="I969" s="16"/>
      <c r="M969" s="17"/>
      <c r="P969" s="8"/>
    </row>
    <row r="970" spans="3:16" ht="15.75" customHeight="1" x14ac:dyDescent="0.2">
      <c r="C970" s="12"/>
      <c r="D970" s="13"/>
      <c r="E970" s="14"/>
      <c r="G970" s="16"/>
      <c r="H970" s="16"/>
      <c r="I970" s="16"/>
      <c r="M970" s="17"/>
      <c r="P970" s="8"/>
    </row>
    <row r="971" spans="3:16" ht="15.75" customHeight="1" x14ac:dyDescent="0.2">
      <c r="C971" s="12"/>
      <c r="D971" s="13"/>
      <c r="E971" s="14"/>
      <c r="G971" s="16"/>
      <c r="H971" s="16"/>
      <c r="I971" s="16"/>
      <c r="M971" s="17"/>
      <c r="P971" s="8"/>
    </row>
    <row r="972" spans="3:16" ht="15.75" customHeight="1" x14ac:dyDescent="0.2">
      <c r="C972" s="12"/>
      <c r="D972" s="13"/>
      <c r="E972" s="14"/>
      <c r="G972" s="16"/>
      <c r="H972" s="16"/>
      <c r="I972" s="16"/>
      <c r="M972" s="17"/>
      <c r="P972" s="8"/>
    </row>
    <row r="973" spans="3:16" ht="15.75" customHeight="1" x14ac:dyDescent="0.2">
      <c r="C973" s="12"/>
      <c r="D973" s="13"/>
      <c r="E973" s="14"/>
      <c r="G973" s="16"/>
      <c r="H973" s="16"/>
      <c r="I973" s="16"/>
      <c r="M973" s="17"/>
      <c r="P973" s="8"/>
    </row>
    <row r="974" spans="3:16" ht="15.75" customHeight="1" x14ac:dyDescent="0.2">
      <c r="C974" s="12"/>
      <c r="D974" s="13"/>
      <c r="E974" s="14"/>
      <c r="G974" s="16"/>
      <c r="H974" s="16"/>
      <c r="I974" s="16"/>
      <c r="M974" s="17"/>
      <c r="P974" s="8"/>
    </row>
    <row r="975" spans="3:16" ht="15.75" customHeight="1" x14ac:dyDescent="0.2">
      <c r="C975" s="12"/>
      <c r="D975" s="13"/>
      <c r="E975" s="14"/>
      <c r="G975" s="16"/>
      <c r="H975" s="16"/>
      <c r="I975" s="16"/>
      <c r="M975" s="17"/>
      <c r="P975" s="8"/>
    </row>
    <row r="976" spans="3:16" ht="15.75" customHeight="1" x14ac:dyDescent="0.2">
      <c r="C976" s="12"/>
      <c r="D976" s="13"/>
      <c r="E976" s="14"/>
      <c r="G976" s="16"/>
      <c r="H976" s="16"/>
      <c r="I976" s="16"/>
      <c r="M976" s="17"/>
      <c r="P976" s="8"/>
    </row>
    <row r="977" spans="3:16" ht="15.75" customHeight="1" x14ac:dyDescent="0.2">
      <c r="C977" s="12"/>
      <c r="D977" s="13"/>
      <c r="E977" s="14"/>
      <c r="G977" s="16"/>
      <c r="H977" s="16"/>
      <c r="I977" s="16"/>
      <c r="M977" s="17"/>
      <c r="P977" s="8"/>
    </row>
    <row r="978" spans="3:16" ht="15.75" customHeight="1" x14ac:dyDescent="0.2">
      <c r="C978" s="12"/>
      <c r="D978" s="13"/>
      <c r="E978" s="14"/>
      <c r="G978" s="16"/>
      <c r="H978" s="16"/>
      <c r="I978" s="16"/>
      <c r="M978" s="17"/>
      <c r="P978" s="8"/>
    </row>
    <row r="979" spans="3:16" ht="15.75" customHeight="1" x14ac:dyDescent="0.2">
      <c r="C979" s="12"/>
      <c r="D979" s="13"/>
      <c r="E979" s="14"/>
      <c r="G979" s="16"/>
      <c r="H979" s="16"/>
      <c r="I979" s="16"/>
      <c r="M979" s="17"/>
      <c r="P979" s="8"/>
    </row>
    <row r="980" spans="3:16" ht="15.75" customHeight="1" x14ac:dyDescent="0.2">
      <c r="C980" s="12"/>
      <c r="D980" s="13"/>
      <c r="E980" s="14"/>
      <c r="G980" s="16"/>
      <c r="H980" s="16"/>
      <c r="I980" s="16"/>
      <c r="M980" s="17"/>
      <c r="P980" s="8"/>
    </row>
    <row r="981" spans="3:16" ht="15.75" customHeight="1" x14ac:dyDescent="0.2">
      <c r="C981" s="12"/>
      <c r="D981" s="13"/>
      <c r="E981" s="14"/>
      <c r="G981" s="16"/>
      <c r="H981" s="16"/>
      <c r="I981" s="16"/>
      <c r="M981" s="17"/>
      <c r="P981" s="8"/>
    </row>
    <row r="982" spans="3:16" ht="15.75" customHeight="1" x14ac:dyDescent="0.2">
      <c r="C982" s="12"/>
      <c r="D982" s="13"/>
      <c r="E982" s="14"/>
      <c r="G982" s="16"/>
      <c r="H982" s="16"/>
      <c r="I982" s="16"/>
      <c r="M982" s="17"/>
      <c r="P982" s="8"/>
    </row>
    <row r="983" spans="3:16" ht="15.75" customHeight="1" x14ac:dyDescent="0.2">
      <c r="C983" s="12"/>
      <c r="D983" s="13"/>
      <c r="E983" s="14"/>
      <c r="G983" s="16"/>
      <c r="H983" s="16"/>
      <c r="I983" s="16"/>
      <c r="M983" s="17"/>
      <c r="P983" s="8"/>
    </row>
    <row r="984" spans="3:16" ht="15.75" customHeight="1" x14ac:dyDescent="0.2">
      <c r="C984" s="12"/>
      <c r="D984" s="13"/>
      <c r="E984" s="14"/>
      <c r="G984" s="16"/>
      <c r="H984" s="16"/>
      <c r="I984" s="16"/>
      <c r="M984" s="17"/>
      <c r="P984" s="8"/>
    </row>
    <row r="985" spans="3:16" ht="15.75" customHeight="1" x14ac:dyDescent="0.2">
      <c r="C985" s="12"/>
      <c r="D985" s="13"/>
      <c r="E985" s="14"/>
      <c r="G985" s="16"/>
      <c r="H985" s="16"/>
      <c r="I985" s="16"/>
      <c r="M985" s="17"/>
      <c r="P985" s="8"/>
    </row>
    <row r="986" spans="3:16" ht="15.75" customHeight="1" x14ac:dyDescent="0.2">
      <c r="C986" s="12"/>
      <c r="D986" s="13"/>
      <c r="E986" s="14"/>
      <c r="G986" s="16"/>
      <c r="H986" s="16"/>
      <c r="I986" s="16"/>
      <c r="M986" s="17"/>
      <c r="P986" s="8"/>
    </row>
    <row r="987" spans="3:16" ht="15.75" customHeight="1" x14ac:dyDescent="0.2">
      <c r="C987" s="12"/>
      <c r="D987" s="13"/>
      <c r="E987" s="14"/>
      <c r="G987" s="16"/>
      <c r="H987" s="16"/>
      <c r="I987" s="16"/>
      <c r="M987" s="17"/>
      <c r="P987" s="8"/>
    </row>
    <row r="988" spans="3:16" ht="15.75" customHeight="1" x14ac:dyDescent="0.2">
      <c r="C988" s="12"/>
      <c r="D988" s="13"/>
      <c r="E988" s="14"/>
      <c r="G988" s="16"/>
      <c r="H988" s="16"/>
      <c r="I988" s="16"/>
      <c r="M988" s="17"/>
      <c r="P988" s="8"/>
    </row>
    <row r="989" spans="3:16" ht="15.75" customHeight="1" x14ac:dyDescent="0.2">
      <c r="C989" s="12"/>
      <c r="D989" s="13"/>
      <c r="E989" s="14"/>
      <c r="G989" s="16"/>
      <c r="H989" s="16"/>
      <c r="I989" s="16"/>
      <c r="M989" s="17"/>
      <c r="P989" s="8"/>
    </row>
    <row r="990" spans="3:16" ht="15.75" customHeight="1" x14ac:dyDescent="0.2">
      <c r="C990" s="12"/>
      <c r="D990" s="13"/>
      <c r="E990" s="14"/>
      <c r="G990" s="16"/>
      <c r="H990" s="16"/>
      <c r="I990" s="16"/>
      <c r="M990" s="17"/>
      <c r="P990" s="8"/>
    </row>
    <row r="991" spans="3:16" ht="15.75" customHeight="1" x14ac:dyDescent="0.2">
      <c r="C991" s="12"/>
      <c r="D991" s="13"/>
      <c r="E991" s="14"/>
      <c r="G991" s="16"/>
      <c r="H991" s="16"/>
      <c r="I991" s="16"/>
      <c r="M991" s="17"/>
      <c r="P991" s="8"/>
    </row>
    <row r="992" spans="3:16" ht="15.75" customHeight="1" x14ac:dyDescent="0.2">
      <c r="C992" s="12"/>
      <c r="D992" s="13"/>
      <c r="E992" s="14"/>
      <c r="G992" s="16"/>
      <c r="H992" s="16"/>
      <c r="I992" s="16"/>
      <c r="M992" s="17"/>
      <c r="P992" s="8"/>
    </row>
    <row r="993" spans="3:16" ht="15.75" customHeight="1" x14ac:dyDescent="0.2">
      <c r="C993" s="12"/>
      <c r="D993" s="13"/>
      <c r="E993" s="14"/>
      <c r="G993" s="16"/>
      <c r="H993" s="16"/>
      <c r="I993" s="16"/>
      <c r="M993" s="17"/>
      <c r="P993" s="8"/>
    </row>
    <row r="994" spans="3:16" ht="15.75" customHeight="1" x14ac:dyDescent="0.2">
      <c r="C994" s="12"/>
      <c r="D994" s="13"/>
      <c r="E994" s="14"/>
      <c r="G994" s="16"/>
      <c r="H994" s="16"/>
      <c r="I994" s="16"/>
      <c r="M994" s="17"/>
      <c r="P994" s="8"/>
    </row>
    <row r="995" spans="3:16" ht="15.75" customHeight="1" x14ac:dyDescent="0.2">
      <c r="C995" s="12"/>
      <c r="D995" s="13"/>
      <c r="E995" s="14"/>
      <c r="G995" s="16"/>
      <c r="H995" s="16"/>
      <c r="I995" s="16"/>
      <c r="M995" s="17"/>
      <c r="P995" s="8"/>
    </row>
    <row r="996" spans="3:16" ht="15.75" customHeight="1" x14ac:dyDescent="0.2">
      <c r="C996" s="12"/>
      <c r="D996" s="13"/>
      <c r="E996" s="14"/>
      <c r="G996" s="16"/>
      <c r="H996" s="16"/>
      <c r="I996" s="16"/>
      <c r="M996" s="17"/>
      <c r="P996" s="8"/>
    </row>
    <row r="997" spans="3:16" ht="15.75" customHeight="1" x14ac:dyDescent="0.2">
      <c r="C997" s="12"/>
      <c r="D997" s="13"/>
      <c r="E997" s="14"/>
      <c r="G997" s="16"/>
      <c r="H997" s="16"/>
      <c r="I997" s="16"/>
      <c r="M997" s="17"/>
      <c r="P997" s="8"/>
    </row>
    <row r="998" spans="3:16" ht="15.75" customHeight="1" x14ac:dyDescent="0.2">
      <c r="C998" s="12"/>
      <c r="D998" s="13"/>
      <c r="E998" s="14"/>
      <c r="G998" s="16"/>
      <c r="H998" s="16"/>
      <c r="I998" s="16"/>
      <c r="M998" s="17"/>
      <c r="P998" s="8"/>
    </row>
    <row r="999" spans="3:16" ht="15.75" customHeight="1" x14ac:dyDescent="0.2">
      <c r="C999" s="12"/>
      <c r="D999" s="13"/>
      <c r="E999" s="14"/>
      <c r="G999" s="16"/>
      <c r="H999" s="16"/>
      <c r="I999" s="16"/>
      <c r="M999" s="17"/>
      <c r="P999" s="8"/>
    </row>
    <row r="1000" spans="3:16" ht="15.75" customHeight="1" x14ac:dyDescent="0.2">
      <c r="C1000" s="12"/>
      <c r="D1000" s="13"/>
      <c r="E1000" s="14"/>
      <c r="G1000" s="16"/>
      <c r="H1000" s="16"/>
      <c r="I1000" s="16"/>
      <c r="M1000" s="17"/>
      <c r="P1000" s="8"/>
    </row>
  </sheetData>
  <conditionalFormatting sqref="O12:O79">
    <cfRule type="cellIs" dxfId="34" priority="1" operator="equal">
      <formula>"ok"</formula>
    </cfRule>
  </conditionalFormatting>
  <conditionalFormatting sqref="O12:O79">
    <cfRule type="containsText" dxfId="33" priority="2" operator="containsText" text="nok">
      <formula>NOT(ISERROR(SEARCH(("nok"),(O12))))</formula>
    </cfRule>
  </conditionalFormatting>
  <conditionalFormatting sqref="M2:M84">
    <cfRule type="cellIs" dxfId="32" priority="3" operator="greaterThanOrEqual">
      <formula>0.8</formula>
    </cfRule>
  </conditionalFormatting>
  <conditionalFormatting sqref="C32:E32">
    <cfRule type="expression" dxfId="31" priority="4">
      <formula>C31=C32</formula>
    </cfRule>
  </conditionalFormatting>
  <conditionalFormatting sqref="C31:E31">
    <cfRule type="expression" dxfId="30" priority="5">
      <formula>C31=C32</formula>
    </cfRule>
  </conditionalFormatting>
  <conditionalFormatting sqref="C37:E37">
    <cfRule type="expression" dxfId="29" priority="6">
      <formula>C36=C37</formula>
    </cfRule>
  </conditionalFormatting>
  <conditionalFormatting sqref="C36:E36">
    <cfRule type="expression" dxfId="28" priority="7">
      <formula>C36=C37</formula>
    </cfRule>
  </conditionalFormatting>
  <conditionalFormatting sqref="C12:E12">
    <cfRule type="expression" dxfId="27" priority="8">
      <formula>C11=C12</formula>
    </cfRule>
  </conditionalFormatting>
  <conditionalFormatting sqref="C11:E11">
    <cfRule type="expression" dxfId="26" priority="9">
      <formula>C11=C12</formula>
    </cfRule>
  </conditionalFormatting>
  <conditionalFormatting sqref="C17:E17">
    <cfRule type="expression" dxfId="25" priority="10">
      <formula>C16=C17</formula>
    </cfRule>
  </conditionalFormatting>
  <conditionalFormatting sqref="C16:E16">
    <cfRule type="expression" dxfId="24" priority="11">
      <formula>C16=C17</formula>
    </cfRule>
  </conditionalFormatting>
  <conditionalFormatting sqref="C22:E22">
    <cfRule type="expression" dxfId="23" priority="12">
      <formula>C21=C22</formula>
    </cfRule>
  </conditionalFormatting>
  <conditionalFormatting sqref="C21:E21">
    <cfRule type="expression" dxfId="22" priority="13">
      <formula>C21=C22</formula>
    </cfRule>
  </conditionalFormatting>
  <conditionalFormatting sqref="C42:E42">
    <cfRule type="expression" dxfId="21" priority="14">
      <formula>C41=C42</formula>
    </cfRule>
  </conditionalFormatting>
  <conditionalFormatting sqref="C41:E41">
    <cfRule type="expression" dxfId="20" priority="15">
      <formula>C41=C42</formula>
    </cfRule>
  </conditionalFormatting>
  <conditionalFormatting sqref="C47:E47">
    <cfRule type="expression" dxfId="19" priority="16">
      <formula>C46=C47</formula>
    </cfRule>
  </conditionalFormatting>
  <conditionalFormatting sqref="C46:E46">
    <cfRule type="expression" dxfId="18" priority="17">
      <formula>C46=C47</formula>
    </cfRule>
  </conditionalFormatting>
  <conditionalFormatting sqref="C52:E52">
    <cfRule type="expression" dxfId="17" priority="18">
      <formula>C51=C52</formula>
    </cfRule>
  </conditionalFormatting>
  <conditionalFormatting sqref="C51:E51">
    <cfRule type="expression" dxfId="16" priority="19">
      <formula>C51=C52</formula>
    </cfRule>
  </conditionalFormatting>
  <conditionalFormatting sqref="C57:E57">
    <cfRule type="expression" dxfId="15" priority="20">
      <formula>C56=C57</formula>
    </cfRule>
  </conditionalFormatting>
  <conditionalFormatting sqref="C56:E56">
    <cfRule type="expression" dxfId="14" priority="21">
      <formula>C56=C57</formula>
    </cfRule>
  </conditionalFormatting>
  <conditionalFormatting sqref="C62:E62">
    <cfRule type="expression" dxfId="13" priority="22">
      <formula>C61=C62</formula>
    </cfRule>
  </conditionalFormatting>
  <conditionalFormatting sqref="C61:E61">
    <cfRule type="expression" dxfId="12" priority="23">
      <formula>C61=C62</formula>
    </cfRule>
  </conditionalFormatting>
  <conditionalFormatting sqref="C67:E67">
    <cfRule type="expression" dxfId="11" priority="24">
      <formula>C66=C67</formula>
    </cfRule>
  </conditionalFormatting>
  <conditionalFormatting sqref="C66:E66">
    <cfRule type="expression" dxfId="10" priority="25">
      <formula>C66=C67</formula>
    </cfRule>
  </conditionalFormatting>
  <conditionalFormatting sqref="C72:E72">
    <cfRule type="expression" dxfId="9" priority="26">
      <formula>C71=C72</formula>
    </cfRule>
  </conditionalFormatting>
  <conditionalFormatting sqref="C71:E71">
    <cfRule type="expression" dxfId="8" priority="27">
      <formula>C71=C72</formula>
    </cfRule>
  </conditionalFormatting>
  <conditionalFormatting sqref="C77:E77">
    <cfRule type="expression" dxfId="7" priority="28">
      <formula>C76=C77</formula>
    </cfRule>
  </conditionalFormatting>
  <conditionalFormatting sqref="C76:E76">
    <cfRule type="expression" dxfId="6" priority="29">
      <formula>C76=C77</formula>
    </cfRule>
  </conditionalFormatting>
  <conditionalFormatting sqref="O80:O84">
    <cfRule type="cellIs" dxfId="5" priority="30" operator="equal">
      <formula>"ok"</formula>
    </cfRule>
  </conditionalFormatting>
  <conditionalFormatting sqref="O80:O84">
    <cfRule type="containsText" dxfId="4" priority="31" operator="containsText" text="nok">
      <formula>NOT(ISERROR(SEARCH(("nok"),(O80))))</formula>
    </cfRule>
  </conditionalFormatting>
  <conditionalFormatting sqref="C82:E82">
    <cfRule type="expression" dxfId="3" priority="32">
      <formula>C81=C82</formula>
    </cfRule>
  </conditionalFormatting>
  <conditionalFormatting sqref="C81:E81">
    <cfRule type="expression" dxfId="2" priority="33">
      <formula>C81=C82</formula>
    </cfRule>
  </conditionalFormatting>
  <conditionalFormatting sqref="C27:E27">
    <cfRule type="expression" dxfId="1" priority="34">
      <formula>C26=C27</formula>
    </cfRule>
  </conditionalFormatting>
  <conditionalFormatting sqref="C26:E26">
    <cfRule type="expression" dxfId="0" priority="35">
      <formula>C26=C27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Fuzzy 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MACBOOK M1</cp:lastModifiedBy>
  <dcterms:created xsi:type="dcterms:W3CDTF">2015-06-05T18:17:20Z</dcterms:created>
  <dcterms:modified xsi:type="dcterms:W3CDTF">2024-03-18T22:42:24Z</dcterms:modified>
</cp:coreProperties>
</file>